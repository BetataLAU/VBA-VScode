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bet\VBA VScode\VBA-VScode\"/>
    </mc:Choice>
  </mc:AlternateContent>
  <xr:revisionPtr revIDLastSave="0" documentId="13_ncr:1_{7C3199AE-E85D-48A0-92A5-18ED71FA4BC4}" xr6:coauthVersionLast="47" xr6:coauthVersionMax="47" xr10:uidLastSave="{00000000-0000-0000-0000-000000000000}"/>
  <bookViews>
    <workbookView xWindow="-28965" yWindow="315" windowWidth="27780" windowHeight="13515" activeTab="1" xr2:uid="{00000000-000D-0000-FFFF-FFFF00000000}"/>
  </bookViews>
  <sheets>
    <sheet name="MAWB" sheetId="1" r:id="rId1"/>
    <sheet name="MAWB Config" sheetId="8" r:id="rId2"/>
    <sheet name="SHP" sheetId="9" r:id="rId3"/>
    <sheet name="NTY" sheetId="14" r:id="rId4"/>
    <sheet name="CNE" sheetId="10" r:id="rId5"/>
    <sheet name="ACC" sheetId="11" r:id="rId6"/>
    <sheet name="Commodity" sheetId="13" r:id="rId7"/>
    <sheet name="HCC" sheetId="12" r:id="rId8"/>
    <sheet name="DEST-IATA rate" sheetId="15" r:id="rId9"/>
    <sheet name="Airline Info and Remark" sheetId="16" r:id="rId10"/>
  </sheets>
  <functionGroups builtInGroupCount="19"/>
  <definedNames>
    <definedName name="_xlnm.Print_Area" localSheetId="0">MAWB!$A$1:$AN$62</definedName>
    <definedName name="Z_3F965852_3BBA_46DA_8E5C_A49135D6FEB3_.wvu.PrintArea" localSheetId="0" hidden="1">MAWB!$A$1:$AN$62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62" i="1" l="1"/>
  <c r="AF62" i="1"/>
  <c r="AJ1" i="1"/>
  <c r="AH1" i="1"/>
  <c r="AD32" i="1"/>
  <c r="P4" i="8"/>
  <c r="B3" i="8" l="1"/>
  <c r="P3" i="8" l="1"/>
  <c r="P56" i="1" l="1"/>
  <c r="AI60" i="1"/>
  <c r="Q60" i="1"/>
  <c r="AF47" i="1"/>
  <c r="M32" i="1" l="1"/>
  <c r="AF49" i="1" l="1"/>
  <c r="AF48" i="1"/>
  <c r="A55" i="1" s="1"/>
  <c r="V32" i="1"/>
  <c r="A47" i="1" s="1"/>
  <c r="A59" i="1" l="1"/>
</calcChain>
</file>

<file path=xl/sharedStrings.xml><?xml version="1.0" encoding="utf-8"?>
<sst xmlns="http://schemas.openxmlformats.org/spreadsheetml/2006/main" count="348" uniqueCount="149">
  <si>
    <t>Q</t>
  </si>
  <si>
    <t>HONG KONG</t>
    <phoneticPr fontId="10" type="noConversion"/>
  </si>
  <si>
    <t>LOADING INFO:</t>
    <phoneticPr fontId="10" type="noConversion"/>
  </si>
  <si>
    <t xml:space="preserve">TOTAL: (101) PACKAGES ONLY._x000D_
BUP 1 SLAC -INTACT PMC HANDOVER TO CONSIGNEE. -DO NOT BREAKDOWN._x000D_
NO S.W.P.M. </t>
    <phoneticPr fontId="10" type="noConversion"/>
  </si>
  <si>
    <t>T/S CARGO FM CHINA TO STN VIA HKG BY TRUCK.</t>
    <phoneticPr fontId="10" type="noConversion"/>
  </si>
  <si>
    <t>(101)(BUP)</t>
    <phoneticPr fontId="10" type="noConversion"/>
  </si>
  <si>
    <t>AWC:</t>
  </si>
  <si>
    <t>FEC:</t>
  </si>
  <si>
    <t>CGC:</t>
  </si>
  <si>
    <t>MYC:</t>
  </si>
  <si>
    <t>RAC:</t>
  </si>
  <si>
    <t>XBC:</t>
  </si>
  <si>
    <t>101 PKGS LDD ON PMC73509QR / H3 (PRE-PACK)</t>
  </si>
  <si>
    <t>MAWB#</t>
    <phoneticPr fontId="14" type="noConversion"/>
  </si>
  <si>
    <t>DEST</t>
    <phoneticPr fontId="14" type="noConversion"/>
  </si>
  <si>
    <t>PCS</t>
    <phoneticPr fontId="14" type="noConversion"/>
  </si>
  <si>
    <t>WT</t>
    <phoneticPr fontId="14" type="noConversion"/>
  </si>
  <si>
    <t>CBM</t>
    <phoneticPr fontId="14" type="noConversion"/>
  </si>
  <si>
    <t>TYPE</t>
    <phoneticPr fontId="14" type="noConversion"/>
  </si>
  <si>
    <t>ULD#</t>
    <phoneticPr fontId="14" type="noConversion"/>
  </si>
  <si>
    <t>Contour</t>
    <phoneticPr fontId="14" type="noConversion"/>
  </si>
  <si>
    <t>remark</t>
    <phoneticPr fontId="14" type="noConversion"/>
  </si>
  <si>
    <t>accept?</t>
    <phoneticPr fontId="14" type="noConversion"/>
  </si>
  <si>
    <t>Report index</t>
    <phoneticPr fontId="14" type="noConversion"/>
  </si>
  <si>
    <t>J4</t>
  </si>
  <si>
    <t>H2</t>
  </si>
  <si>
    <t>J1</t>
  </si>
  <si>
    <t>J3</t>
  </si>
  <si>
    <t>PMC11726ET</t>
  </si>
  <si>
    <t>BULK</t>
  </si>
  <si>
    <t>TOTAL 35 MAWB</t>
  </si>
  <si>
    <t>BUD</t>
    <phoneticPr fontId="14" type="noConversion"/>
  </si>
  <si>
    <t>X</t>
    <phoneticPr fontId="14" type="noConversion"/>
  </si>
  <si>
    <t>PMC13065ET</t>
    <phoneticPr fontId="14" type="noConversion"/>
  </si>
  <si>
    <t>PMC11783ET</t>
    <phoneticPr fontId="14" type="noConversion"/>
  </si>
  <si>
    <t>MIX A</t>
    <phoneticPr fontId="14" type="noConversion"/>
  </si>
  <si>
    <t>PMC3877ET</t>
    <phoneticPr fontId="14" type="noConversion"/>
  </si>
  <si>
    <t>PMC11517ET</t>
    <phoneticPr fontId="14" type="noConversion"/>
  </si>
  <si>
    <t>PMC88411ET</t>
    <phoneticPr fontId="14" type="noConversion"/>
  </si>
  <si>
    <t>PMC88457ET</t>
    <phoneticPr fontId="14" type="noConversion"/>
  </si>
  <si>
    <t>MIX B</t>
    <phoneticPr fontId="14" type="noConversion"/>
  </si>
  <si>
    <t>H2</t>
    <phoneticPr fontId="14" type="noConversion"/>
  </si>
  <si>
    <t>PMC88091ET</t>
    <phoneticPr fontId="14" type="noConversion"/>
  </si>
  <si>
    <t>PMC88120ET</t>
    <phoneticPr fontId="14" type="noConversion"/>
  </si>
  <si>
    <t>PMC11036ET</t>
    <phoneticPr fontId="14" type="noConversion"/>
  </si>
  <si>
    <t>PMC10479ET</t>
    <phoneticPr fontId="14" type="noConversion"/>
  </si>
  <si>
    <t>PMC10098ET</t>
    <phoneticPr fontId="14" type="noConversion"/>
  </si>
  <si>
    <t>PMC8160ET</t>
    <phoneticPr fontId="14" type="noConversion"/>
  </si>
  <si>
    <t>MIX C</t>
    <phoneticPr fontId="14" type="noConversion"/>
  </si>
  <si>
    <t>PMC7776ET</t>
    <phoneticPr fontId="14" type="noConversion"/>
  </si>
  <si>
    <t>PMC10112ET</t>
    <phoneticPr fontId="14" type="noConversion"/>
  </si>
  <si>
    <t>PMC2112ET</t>
    <phoneticPr fontId="14" type="noConversion"/>
  </si>
  <si>
    <t>PMC7202ET</t>
    <phoneticPr fontId="14" type="noConversion"/>
  </si>
  <si>
    <t>PMC8532ET</t>
    <phoneticPr fontId="14" type="noConversion"/>
  </si>
  <si>
    <t>PMC5858ET</t>
    <phoneticPr fontId="14" type="noConversion"/>
  </si>
  <si>
    <t>MIX D</t>
    <phoneticPr fontId="14" type="noConversion"/>
  </si>
  <si>
    <t>J3</t>
    <phoneticPr fontId="14" type="noConversion"/>
  </si>
  <si>
    <t>LGG</t>
    <phoneticPr fontId="14" type="noConversion"/>
  </si>
  <si>
    <t>PMC12590ET</t>
    <phoneticPr fontId="14" type="noConversion"/>
  </si>
  <si>
    <t>J4</t>
    <phoneticPr fontId="14" type="noConversion"/>
  </si>
  <si>
    <t>PMC8311ET</t>
    <phoneticPr fontId="14" type="noConversion"/>
  </si>
  <si>
    <t>PMC3746ET</t>
    <phoneticPr fontId="14" type="noConversion"/>
  </si>
  <si>
    <t>J4</t>
    <phoneticPr fontId="14" type="noConversion"/>
  </si>
  <si>
    <t>PMC88361ET</t>
    <phoneticPr fontId="14" type="noConversion"/>
  </si>
  <si>
    <t>PMC3922ET</t>
    <phoneticPr fontId="14" type="noConversion"/>
  </si>
  <si>
    <t>PMC0435ET</t>
    <phoneticPr fontId="14" type="noConversion"/>
  </si>
  <si>
    <t>PMC11726ET</t>
    <phoneticPr fontId="14" type="noConversion"/>
  </si>
  <si>
    <t>PMC0465ET</t>
    <phoneticPr fontId="14" type="noConversion"/>
  </si>
  <si>
    <t>J1</t>
    <phoneticPr fontId="14" type="noConversion"/>
  </si>
  <si>
    <t>PMC8121ET</t>
    <phoneticPr fontId="14" type="noConversion"/>
  </si>
  <si>
    <t>PMC7065ET</t>
    <phoneticPr fontId="14" type="noConversion"/>
  </si>
  <si>
    <t>PMC6028ET</t>
    <phoneticPr fontId="14" type="noConversion"/>
  </si>
  <si>
    <t>B</t>
    <phoneticPr fontId="14" type="noConversion"/>
  </si>
  <si>
    <t>Remark</t>
    <phoneticPr fontId="12" type="noConversion"/>
  </si>
  <si>
    <t>Issuing Carrier</t>
    <phoneticPr fontId="12" type="noConversion"/>
  </si>
  <si>
    <t>DSV AIR &amp; SEA LTD</t>
    <phoneticPr fontId="12" type="noConversion"/>
  </si>
  <si>
    <t>Agent's IATA Code</t>
    <phoneticPr fontId="12" type="noConversion"/>
  </si>
  <si>
    <t>13-3 0621/0002</t>
    <phoneticPr fontId="12" type="noConversion"/>
  </si>
  <si>
    <t>ACC No</t>
    <phoneticPr fontId="12" type="noConversion"/>
  </si>
  <si>
    <t>Flight Date</t>
    <phoneticPr fontId="12" type="noConversion"/>
  </si>
  <si>
    <t>ET3707</t>
    <phoneticPr fontId="12" type="noConversion"/>
  </si>
  <si>
    <t>MAWB pre-fix</t>
    <phoneticPr fontId="12" type="noConversion"/>
  </si>
  <si>
    <t>Airline details</t>
    <phoneticPr fontId="12" type="noConversion"/>
  </si>
  <si>
    <t>ETHIOPIAN AIRLINES GROUP
ADDIS ABABA, ETHIOPIA</t>
    <phoneticPr fontId="12" type="noConversion"/>
  </si>
  <si>
    <t>Issue Date</t>
    <phoneticPr fontId="12" type="noConversion"/>
  </si>
  <si>
    <t>RA code</t>
    <phoneticPr fontId="12" type="noConversion"/>
  </si>
  <si>
    <t>RA03854</t>
    <phoneticPr fontId="12" type="noConversion"/>
  </si>
  <si>
    <t>Signature</t>
    <phoneticPr fontId="12" type="noConversion"/>
  </si>
  <si>
    <t>AIR GLOBAL LIMITED / SPX</t>
    <phoneticPr fontId="12" type="noConversion"/>
  </si>
  <si>
    <t>DEF</t>
    <phoneticPr fontId="12" type="noConversion"/>
  </si>
  <si>
    <t>GHIBLI SZALLITMANYOZASI KFT
H-1211 BUDAPEST, PETROLEUM U. 2. 
PIC: FERENC.BARATI@GHIBLI.HU TEL +36209293752 TRADE REGISTER NUMBER+HU12167452 EORI#HU0000003869</t>
    <phoneticPr fontId="12" type="noConversion"/>
  </si>
  <si>
    <t>*FREIGHT PREPAID*
**C/O AIR GLOBAL LIMITED.
ROOM 503, 5/F, HARBOUR CENTRE, TOWER 2, 8 HOK CHEUNG STREET, HUNGHOM, KOWLOON, HONG KONG.</t>
    <phoneticPr fontId="12" type="noConversion"/>
  </si>
  <si>
    <t>GSKBUD</t>
    <phoneticPr fontId="12" type="noConversion"/>
  </si>
  <si>
    <t>BUD</t>
    <phoneticPr fontId="12" type="noConversion"/>
  </si>
  <si>
    <t>BUDAPEST</t>
    <phoneticPr fontId="12" type="noConversion"/>
  </si>
  <si>
    <t>DEST</t>
    <phoneticPr fontId="12" type="noConversion"/>
  </si>
  <si>
    <t>MIN</t>
    <phoneticPr fontId="12" type="noConversion"/>
  </si>
  <si>
    <t>N</t>
    <phoneticPr fontId="12" type="noConversion"/>
  </si>
  <si>
    <t>SHP</t>
    <phoneticPr fontId="12" type="noConversion"/>
  </si>
  <si>
    <t>CNE</t>
    <phoneticPr fontId="12" type="noConversion"/>
  </si>
  <si>
    <t>NTY</t>
    <phoneticPr fontId="12" type="noConversion"/>
  </si>
  <si>
    <t>ACC</t>
    <phoneticPr fontId="12" type="noConversion"/>
  </si>
  <si>
    <t>Commodity</t>
    <phoneticPr fontId="12" type="noConversion"/>
  </si>
  <si>
    <t>HCC</t>
    <phoneticPr fontId="12" type="noConversion"/>
  </si>
  <si>
    <t>CLOTHES HS620331
SHOES HS640359
-NO BATTERY
CCTV CAMERA HS852589</t>
    <phoneticPr fontId="12" type="noConversion"/>
  </si>
  <si>
    <t>ET</t>
    <phoneticPr fontId="12" type="noConversion"/>
  </si>
  <si>
    <t>DEST FULL NAME</t>
    <phoneticPr fontId="12" type="noConversion"/>
  </si>
  <si>
    <t>***交單REMARK FOR…</t>
    <phoneticPr fontId="12" type="noConversion"/>
  </si>
  <si>
    <t>071</t>
    <phoneticPr fontId="12" type="noConversion"/>
  </si>
  <si>
    <t>ABCHKG</t>
    <phoneticPr fontId="12" type="noConversion"/>
  </si>
  <si>
    <t>966/100</t>
    <phoneticPr fontId="12" type="noConversion"/>
  </si>
  <si>
    <t>967/90</t>
    <phoneticPr fontId="12" type="noConversion"/>
  </si>
  <si>
    <t>967/20</t>
    <phoneticPr fontId="12" type="noConversion"/>
  </si>
  <si>
    <t>A123/10</t>
    <phoneticPr fontId="12" type="noConversion"/>
  </si>
  <si>
    <t>A199/5</t>
    <phoneticPr fontId="12" type="noConversion"/>
  </si>
  <si>
    <t>one 111111111111111</t>
    <phoneticPr fontId="12" type="noConversion"/>
  </si>
  <si>
    <t>two 22222222222</t>
    <phoneticPr fontId="12" type="noConversion"/>
  </si>
  <si>
    <t>HPL</t>
    <phoneticPr fontId="12" type="noConversion"/>
  </si>
  <si>
    <t>HERMES PLACENET LIMITED
HDJHFGJDHFJHDSJLF
JHGJ</t>
    <phoneticPr fontId="12" type="noConversion"/>
  </si>
  <si>
    <t>BATTERY</t>
    <phoneticPr fontId="12" type="noConversion"/>
  </si>
  <si>
    <t>ET REMARK</t>
    <phoneticPr fontId="12" type="noConversion"/>
  </si>
  <si>
    <t>ETRADE SHENZHEN CO LTD HIHIHIHIH
ROOM 1418, 14TH FLOOR, QINGFUYUAN BUILDING,FUQING STREET, FUTIAN SUB-DISTRICT,FUTIAN DISTRICT
SHENZHEN**</t>
    <phoneticPr fontId="12" type="noConversion"/>
  </si>
  <si>
    <t>501</t>
    <phoneticPr fontId="12" type="noConversion"/>
  </si>
  <si>
    <t>SILK WAY WEST AIRLINES LLC
HEYDAR ALIYEV INTERNATIONAL AIRPORT
BAKU, AZ1044 AZERBAIJAN</t>
    <phoneticPr fontId="12" type="noConversion"/>
  </si>
  <si>
    <t>test</t>
    <phoneticPr fontId="12" type="noConversion"/>
  </si>
  <si>
    <t>TEST</t>
    <phoneticPr fontId="12" type="noConversion"/>
  </si>
  <si>
    <t>`</t>
    <phoneticPr fontId="10" type="noConversion"/>
  </si>
  <si>
    <t>*FREIGHT PREPAID*
**C/O AIR GLOBAL LIMITED.
ROOM 503, 5/F, HARBOUR CENTRE, TOWER 2, 8 HOK CHEUNG STREET, HUNGHOM, KOWLOON, HONG KONG.</t>
  </si>
  <si>
    <t xml:space="preserve">
"FREIGHT PREPAID"</t>
    <phoneticPr fontId="12" type="noConversion"/>
  </si>
  <si>
    <t>DSV AIR &amp; SEA LTD / HKG</t>
  </si>
  <si>
    <t>13-3 0621/0002</t>
  </si>
  <si>
    <t>Flight1#</t>
    <phoneticPr fontId="12" type="noConversion"/>
  </si>
  <si>
    <t>Flight2#</t>
    <phoneticPr fontId="12" type="noConversion"/>
  </si>
  <si>
    <t>For 2025/MAR 7L MYC = 4.20/k
-DSV space</t>
    <phoneticPr fontId="12" type="noConversion"/>
  </si>
  <si>
    <t>&lt;Carrier Code&gt;</t>
  </si>
  <si>
    <t>DUS</t>
  </si>
  <si>
    <t>DESSELDORF</t>
  </si>
  <si>
    <t>&lt;Routing&gt;</t>
  </si>
  <si>
    <t>HKG</t>
    <phoneticPr fontId="10" type="noConversion"/>
  </si>
  <si>
    <t>_x000D_
*FREIGHT PREPAID*
**C/O AIR GLOBAL LIMITED.
ROOM 503, 5/F, HARBOUR CENTRE, TOWER 2, 8 HOK CHEUNG STREET, HUNGHOM, KOWLOON, HONG KONG.</t>
  </si>
  <si>
    <t>SILK WAY WEST AIRLINES LLC
HEYDAR ALIYEV INTERNATIONAL AIRPORT
BAKU, AZ1044 AZERBAIJAN</t>
    <phoneticPr fontId="10" type="noConversion"/>
  </si>
  <si>
    <t>GHIBLI SZALLITMANYOZASI KFT
H-1211 BUDAPEST, PETROLEUM U. 2. 
PIC: FERENC.BARATI@GHIBLI.HU TEL +36209293752 TRADE REGISTER NUMBER+HU12167452 EORI#HU0000003869</t>
    <phoneticPr fontId="10" type="noConversion"/>
  </si>
  <si>
    <t>ET</t>
    <phoneticPr fontId="10" type="noConversion"/>
  </si>
  <si>
    <t>BUDAPEST</t>
    <phoneticPr fontId="10" type="noConversion"/>
  </si>
  <si>
    <t>BUD</t>
    <phoneticPr fontId="10" type="noConversion"/>
  </si>
  <si>
    <t>mxp</t>
    <phoneticPr fontId="12" type="noConversion"/>
  </si>
  <si>
    <t>MXP</t>
    <phoneticPr fontId="10" type="noConversion"/>
  </si>
  <si>
    <t>ABS CO LTD.</t>
    <phoneticPr fontId="12" type="noConversion"/>
  </si>
  <si>
    <t>ABS CO LTD.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</si>
</sst>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General;;"/>
    <numFmt numFmtId="177" formatCode="000"/>
    <numFmt numFmtId="178" formatCode="000\ \-"/>
    <numFmt numFmtId="179" formatCode="0000\ 0000"/>
    <numFmt numFmtId="180" formatCode="dd\-mmm\-yyyy"/>
    <numFmt numFmtId="181" formatCode="0.0\K;;"/>
    <numFmt numFmtId="182" formatCode="[$HKD]\ #,##0.00;[$HKD]\ \-#,##0.00"/>
    <numFmt numFmtId="183" formatCode="[$HKD]\ #,##0.00_);[Red]\([$HKD]\ #,##0.00\);;"/>
    <numFmt numFmtId="184" formatCode="[$-809]dd\ mmm\ yyyy;@"/>
    <numFmt numFmtId="185" formatCode="0.00_);[Red]\(0.00\)"/>
    <numFmt numFmtId="186" formatCode="000\-0000\ 0000"/>
    <numFmt numFmtId="187" formatCode="ddmmmyyyy"/>
    <numFmt numFmtId="188" formatCode="0.00_ "/>
  </numFmts>
  <fonts count="30">
    <font>
      <sz val="12"/>
      <name val="新細明體"/>
    </font>
    <font>
      <sz val="12"/>
      <name val="新細明體"/>
      <family val="1"/>
    </font>
    <font>
      <sz val="9"/>
      <name val="Arial"/>
      <family val="2"/>
    </font>
    <font>
      <sz val="14"/>
      <color indexed="12"/>
      <name val="宋体"/>
      <family val="3"/>
    </font>
    <font>
      <u/>
      <sz val="12"/>
      <color indexed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sz val="12"/>
      <name val="新細明體"/>
      <family val="1"/>
    </font>
    <font>
      <u/>
      <sz val="12"/>
      <color indexed="12"/>
      <name val="新細明體"/>
      <family val="1"/>
    </font>
    <font>
      <sz val="10"/>
      <name val="Arial"/>
      <family val="2"/>
    </font>
    <font>
      <sz val="12"/>
      <name val="宋体"/>
      <family val="1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0"/>
      <color theme="6" tint="0.79998168889431442"/>
      <name val="Consolas"/>
      <family val="3"/>
    </font>
    <font>
      <sz val="9"/>
      <name val="新細明體"/>
      <family val="3"/>
      <charset val="136"/>
      <scheme val="minor"/>
    </font>
    <font>
      <sz val="10"/>
      <color theme="0"/>
      <name val="Consolas"/>
      <family val="3"/>
    </font>
    <font>
      <sz val="10"/>
      <color rgb="FF7030A0"/>
      <name val="Consolas"/>
      <family val="3"/>
    </font>
    <font>
      <sz val="12"/>
      <name val="Consolas"/>
      <family val="3"/>
    </font>
    <font>
      <sz val="10"/>
      <name val="Consolas"/>
      <family val="3"/>
    </font>
    <font>
      <sz val="10"/>
      <color theme="1"/>
      <name val="Consolas"/>
      <family val="3"/>
    </font>
    <font>
      <sz val="10"/>
      <color rgb="FF0070C0"/>
      <name val="Consolas"/>
      <family val="3"/>
    </font>
    <font>
      <sz val="10"/>
      <color rgb="FF00B050"/>
      <name val="Consolas"/>
      <family val="3"/>
    </font>
    <font>
      <sz val="10"/>
      <color theme="5"/>
      <name val="Consolas"/>
      <family val="3"/>
    </font>
    <font>
      <sz val="10"/>
      <color rgb="FFFF0000"/>
      <name val="Consolas"/>
      <family val="3"/>
    </font>
    <font>
      <sz val="10"/>
      <color rgb="FFFFFF00"/>
      <name val="Consolas"/>
      <family val="3"/>
    </font>
    <font>
      <sz val="12"/>
      <name val="Calibri"/>
      <family val="2"/>
    </font>
    <font>
      <sz val="12"/>
      <color theme="0"/>
      <name val="Calibri"/>
      <family val="2"/>
    </font>
    <font>
      <sz val="10"/>
      <name val="Calibri"/>
      <family val="2"/>
    </font>
    <font>
      <sz val="22"/>
      <color rgb="FFFFFF00"/>
      <name val="Consolas"/>
      <family val="3"/>
    </font>
    <font>
      <sz val="10"/>
      <color rgb="FFFFFF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17">
    <xf numFmtId="0" fontId="0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7" fillId="0" borderId="0"/>
    <xf numFmtId="0" fontId="1" fillId="0" borderId="0"/>
    <xf numFmtId="0" fontId="6" fillId="0" borderId="0"/>
    <xf numFmtId="0" fontId="1" fillId="0" borderId="0"/>
    <xf numFmtId="0" fontId="5" fillId="0" borderId="0"/>
    <xf numFmtId="0" fontId="1" fillId="0" borderId="0"/>
    <xf numFmtId="0" fontId="7" fillId="0" borderId="0"/>
    <xf numFmtId="0" fontId="1" fillId="0" borderId="0"/>
    <xf numFmtId="0" fontId="4" fillId="0" borderId="0"/>
    <xf numFmtId="0" fontId="8" fillId="0" borderId="0"/>
    <xf numFmtId="0" fontId="4" fillId="0" borderId="0"/>
    <xf numFmtId="0" fontId="11" fillId="0" borderId="0"/>
  </cellStyleXfs>
  <cellXfs count="140">
    <xf numFmtId="0" fontId="6" fillId="0" borderId="0" xfId="0" applyFont="1"/>
    <xf numFmtId="176" fontId="2" fillId="3" borderId="0" xfId="0" applyNumberFormat="1" applyFont="1" applyFill="1"/>
    <xf numFmtId="176" fontId="2" fillId="3" borderId="5" xfId="0" applyNumberFormat="1" applyFont="1" applyFill="1" applyBorder="1" applyAlignment="1">
      <alignment horizontal="left"/>
    </xf>
    <xf numFmtId="176" fontId="2" fillId="4" borderId="5" xfId="0" applyNumberFormat="1" applyFont="1" applyFill="1" applyBorder="1" applyAlignment="1">
      <alignment horizontal="right"/>
    </xf>
    <xf numFmtId="176" fontId="2" fillId="3" borderId="0" xfId="0" applyNumberFormat="1" applyFont="1" applyFill="1" applyAlignment="1">
      <alignment vertical="center"/>
    </xf>
    <xf numFmtId="176" fontId="2" fillId="3" borderId="0" xfId="0" applyNumberFormat="1" applyFont="1" applyFill="1" applyAlignment="1">
      <alignment horizontal="center" vertical="center"/>
    </xf>
    <xf numFmtId="176" fontId="2" fillId="3" borderId="0" xfId="0" applyNumberFormat="1" applyFont="1" applyFill="1" applyAlignment="1">
      <alignment horizontal="left"/>
    </xf>
    <xf numFmtId="176" fontId="2" fillId="3" borderId="0" xfId="0" applyNumberFormat="1" applyFont="1" applyFill="1" applyAlignment="1">
      <alignment horizontal="left" vertical="center"/>
    </xf>
    <xf numFmtId="176" fontId="2" fillId="3" borderId="0" xfId="0" applyNumberFormat="1" applyFont="1" applyFill="1" applyAlignment="1">
      <alignment vertical="center" wrapText="1"/>
    </xf>
    <xf numFmtId="176" fontId="2" fillId="2" borderId="0" xfId="0" applyNumberFormat="1" applyFont="1" applyFill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vertical="center"/>
    </xf>
    <xf numFmtId="176" fontId="2" fillId="3" borderId="7" xfId="0" applyNumberFormat="1" applyFont="1" applyFill="1" applyBorder="1" applyAlignment="1">
      <alignment horizontal="center" vertical="center"/>
    </xf>
    <xf numFmtId="176" fontId="2" fillId="3" borderId="0" xfId="0" applyNumberFormat="1" applyFont="1" applyFill="1" applyAlignment="1">
      <alignment horizontal="right" vertical="center"/>
    </xf>
    <xf numFmtId="176" fontId="2" fillId="3" borderId="0" xfId="0" quotePrefix="1" applyNumberFormat="1" applyFont="1" applyFill="1" applyAlignment="1">
      <alignment vertical="center"/>
    </xf>
    <xf numFmtId="186" fontId="13" fillId="5" borderId="0" xfId="0" applyNumberFormat="1" applyFont="1" applyFill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0" borderId="0" xfId="0" applyFont="1"/>
    <xf numFmtId="186" fontId="18" fillId="0" borderId="0" xfId="0" applyNumberFormat="1" applyFont="1"/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quotePrefix="1" applyFont="1"/>
    <xf numFmtId="186" fontId="19" fillId="0" borderId="0" xfId="0" applyNumberFormat="1" applyFont="1"/>
    <xf numFmtId="0" fontId="20" fillId="0" borderId="0" xfId="0" applyFont="1"/>
    <xf numFmtId="0" fontId="20" fillId="0" borderId="0" xfId="0" quotePrefix="1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quotePrefix="1" applyFont="1"/>
    <xf numFmtId="0" fontId="18" fillId="0" borderId="0" xfId="0" applyFont="1" applyAlignment="1">
      <alignment horizontal="center"/>
    </xf>
    <xf numFmtId="0" fontId="16" fillId="0" borderId="0" xfId="0" applyFont="1"/>
    <xf numFmtId="0" fontId="16" fillId="0" borderId="0" xfId="0" quotePrefix="1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quotePrefix="1" applyFont="1"/>
    <xf numFmtId="0" fontId="23" fillId="0" borderId="0" xfId="0" applyFont="1"/>
    <xf numFmtId="0" fontId="18" fillId="0" borderId="0" xfId="0" applyFont="1" applyAlignment="1">
      <alignment horizontal="right"/>
    </xf>
    <xf numFmtId="0" fontId="17" fillId="6" borderId="8" xfId="0" applyFont="1" applyFill="1" applyBorder="1"/>
    <xf numFmtId="0" fontId="17" fillId="6" borderId="9" xfId="0" applyFont="1" applyFill="1" applyBorder="1"/>
    <xf numFmtId="0" fontId="17" fillId="6" borderId="8" xfId="0" applyFont="1" applyFill="1" applyBorder="1" applyAlignment="1">
      <alignment horizontal="centerContinuous"/>
    </xf>
    <xf numFmtId="0" fontId="17" fillId="6" borderId="9" xfId="0" applyFont="1" applyFill="1" applyBorder="1" applyAlignment="1">
      <alignment horizontal="centerContinuous"/>
    </xf>
    <xf numFmtId="0" fontId="17" fillId="6" borderId="8" xfId="0" applyFont="1" applyFill="1" applyBorder="1" applyAlignment="1">
      <alignment horizontal="centerContinuous" vertical="center"/>
    </xf>
    <xf numFmtId="0" fontId="17" fillId="6" borderId="8" xfId="0" applyFont="1" applyFill="1" applyBorder="1" applyAlignment="1">
      <alignment horizontal="centerContinuous" wrapText="1"/>
    </xf>
    <xf numFmtId="0" fontId="24" fillId="7" borderId="10" xfId="0" applyFont="1" applyFill="1" applyBorder="1" applyAlignment="1">
      <alignment horizontal="right"/>
    </xf>
    <xf numFmtId="187" fontId="17" fillId="6" borderId="8" xfId="0" applyNumberFormat="1" applyFont="1" applyFill="1" applyBorder="1" applyAlignment="1">
      <alignment horizontal="centerContinuous" vertical="center"/>
    </xf>
    <xf numFmtId="187" fontId="17" fillId="6" borderId="9" xfId="0" applyNumberFormat="1" applyFont="1" applyFill="1" applyBorder="1" applyAlignment="1">
      <alignment horizontal="centerContinuous" vertical="center"/>
    </xf>
    <xf numFmtId="0" fontId="17" fillId="8" borderId="0" xfId="0" applyFont="1" applyFill="1"/>
    <xf numFmtId="0" fontId="13" fillId="8" borderId="0" xfId="0" applyFont="1" applyFill="1"/>
    <xf numFmtId="0" fontId="25" fillId="0" borderId="0" xfId="0" applyFont="1"/>
    <xf numFmtId="0" fontId="26" fillId="5" borderId="0" xfId="0" applyFont="1" applyFill="1"/>
    <xf numFmtId="188" fontId="25" fillId="0" borderId="0" xfId="0" applyNumberFormat="1" applyFont="1"/>
    <xf numFmtId="0" fontId="25" fillId="9" borderId="11" xfId="0" applyFont="1" applyFill="1" applyBorder="1"/>
    <xf numFmtId="188" fontId="25" fillId="0" borderId="12" xfId="0" applyNumberFormat="1" applyFont="1" applyBorder="1"/>
    <xf numFmtId="188" fontId="25" fillId="0" borderId="8" xfId="0" applyNumberFormat="1" applyFont="1" applyBorder="1"/>
    <xf numFmtId="0" fontId="17" fillId="6" borderId="14" xfId="0" applyFont="1" applyFill="1" applyBorder="1"/>
    <xf numFmtId="0" fontId="17" fillId="6" borderId="13" xfId="0" applyFont="1" applyFill="1" applyBorder="1"/>
    <xf numFmtId="0" fontId="27" fillId="0" borderId="0" xfId="0" applyFont="1" applyAlignment="1">
      <alignment vertical="top"/>
    </xf>
    <xf numFmtId="0" fontId="27" fillId="0" borderId="0" xfId="0" applyFont="1" applyAlignment="1">
      <alignment wrapText="1"/>
    </xf>
    <xf numFmtId="0" fontId="27" fillId="0" borderId="0" xfId="0" applyFont="1"/>
    <xf numFmtId="0" fontId="26" fillId="5" borderId="0" xfId="0" applyFont="1" applyFill="1" applyAlignment="1">
      <alignment horizontal="right"/>
    </xf>
    <xf numFmtId="0" fontId="29" fillId="7" borderId="6" xfId="0" applyFont="1" applyFill="1" applyBorder="1" applyAlignment="1">
      <alignment horizontal="left"/>
    </xf>
    <xf numFmtId="0" fontId="24" fillId="7" borderId="15" xfId="0" applyFont="1" applyFill="1" applyBorder="1" applyAlignment="1">
      <alignment horizontal="right"/>
    </xf>
    <xf numFmtId="0" fontId="24" fillId="7" borderId="16" xfId="0" applyFont="1" applyFill="1" applyBorder="1" applyAlignment="1">
      <alignment horizontal="right"/>
    </xf>
    <xf numFmtId="0" fontId="28" fillId="7" borderId="17" xfId="0" applyFont="1" applyFill="1" applyBorder="1" applyAlignment="1">
      <alignment horizontal="left"/>
    </xf>
    <xf numFmtId="0" fontId="24" fillId="7" borderId="18" xfId="0" applyFont="1" applyFill="1" applyBorder="1" applyAlignment="1">
      <alignment horizontal="right"/>
    </xf>
    <xf numFmtId="0" fontId="24" fillId="7" borderId="19" xfId="0" applyFont="1" applyFill="1" applyBorder="1" applyAlignment="1">
      <alignment horizontal="right"/>
    </xf>
    <xf numFmtId="49" fontId="17" fillId="6" borderId="8" xfId="0" applyNumberFormat="1" applyFont="1" applyFill="1" applyBorder="1"/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horizontal="left"/>
    </xf>
    <xf numFmtId="49" fontId="25" fillId="0" borderId="0" xfId="0" applyNumberFormat="1" applyFont="1"/>
    <xf numFmtId="0" fontId="25" fillId="0" borderId="0" xfId="0" applyFont="1" applyAlignment="1">
      <alignment wrapText="1"/>
    </xf>
    <xf numFmtId="0" fontId="17" fillId="6" borderId="6" xfId="0" applyFont="1" applyFill="1" applyBorder="1" applyAlignment="1">
      <alignment vertical="top"/>
    </xf>
    <xf numFmtId="0" fontId="17" fillId="6" borderId="15" xfId="0" applyFont="1" applyFill="1" applyBorder="1" applyAlignment="1">
      <alignment vertical="top"/>
    </xf>
    <xf numFmtId="0" fontId="17" fillId="6" borderId="16" xfId="0" applyFont="1" applyFill="1" applyBorder="1" applyAlignment="1">
      <alignment vertical="top"/>
    </xf>
    <xf numFmtId="0" fontId="17" fillId="6" borderId="7" xfId="0" applyFont="1" applyFill="1" applyBorder="1" applyAlignment="1">
      <alignment vertical="top"/>
    </xf>
    <xf numFmtId="0" fontId="17" fillId="6" borderId="0" xfId="0" applyFont="1" applyFill="1" applyAlignment="1">
      <alignment vertical="top"/>
    </xf>
    <xf numFmtId="0" fontId="17" fillId="6" borderId="4" xfId="0" applyFont="1" applyFill="1" applyBorder="1" applyAlignment="1">
      <alignment vertical="top"/>
    </xf>
    <xf numFmtId="0" fontId="17" fillId="6" borderId="17" xfId="0" applyFont="1" applyFill="1" applyBorder="1" applyAlignment="1">
      <alignment vertical="top"/>
    </xf>
    <xf numFmtId="0" fontId="17" fillId="6" borderId="18" xfId="0" applyFont="1" applyFill="1" applyBorder="1" applyAlignment="1">
      <alignment vertical="top"/>
    </xf>
    <xf numFmtId="0" fontId="17" fillId="6" borderId="19" xfId="0" applyFont="1" applyFill="1" applyBorder="1" applyAlignment="1">
      <alignment vertical="top"/>
    </xf>
    <xf numFmtId="176" fontId="2" fillId="4" borderId="0" xfId="0" applyNumberFormat="1" applyFont="1" applyFill="1" applyAlignment="1">
      <alignment horizontal="right" vertical="center"/>
    </xf>
    <xf numFmtId="176" fontId="2" fillId="4" borderId="4" xfId="0" applyNumberFormat="1" applyFont="1" applyFill="1" applyBorder="1" applyAlignment="1">
      <alignment horizontal="right" vertical="center"/>
    </xf>
    <xf numFmtId="176" fontId="2" fillId="4" borderId="2" xfId="0" applyNumberFormat="1" applyFont="1" applyFill="1" applyBorder="1" applyAlignment="1">
      <alignment horizontal="center" vertical="center"/>
    </xf>
    <xf numFmtId="176" fontId="2" fillId="3" borderId="0" xfId="0" applyNumberFormat="1" applyFont="1" applyFill="1" applyAlignment="1">
      <alignment vertical="center"/>
    </xf>
    <xf numFmtId="176" fontId="2" fillId="4" borderId="1" xfId="0" applyNumberFormat="1" applyFont="1" applyFill="1" applyBorder="1" applyAlignment="1">
      <alignment horizontal="center" vertical="center"/>
    </xf>
    <xf numFmtId="178" fontId="2" fillId="3" borderId="2" xfId="0" applyNumberFormat="1" applyFont="1" applyFill="1" applyBorder="1" applyAlignment="1">
      <alignment horizontal="center"/>
    </xf>
    <xf numFmtId="176" fontId="2" fillId="3" borderId="0" xfId="0" applyNumberFormat="1" applyFont="1" applyFill="1"/>
    <xf numFmtId="179" fontId="2" fillId="3" borderId="2" xfId="0" applyNumberFormat="1" applyFont="1" applyFill="1" applyBorder="1" applyAlignment="1">
      <alignment horizontal="left"/>
    </xf>
    <xf numFmtId="177" fontId="2" fillId="3" borderId="0" xfId="0" applyNumberFormat="1" applyFont="1" applyFill="1" applyAlignment="1">
      <alignment horizontal="right"/>
    </xf>
    <xf numFmtId="0" fontId="2" fillId="4" borderId="0" xfId="16" applyFont="1" applyFill="1" applyAlignment="1">
      <alignment horizontal="left" vertical="top" wrapText="1"/>
    </xf>
    <xf numFmtId="176" fontId="2" fillId="4" borderId="2" xfId="0" applyNumberFormat="1" applyFont="1" applyFill="1" applyBorder="1" applyAlignment="1">
      <alignment horizontal="left" vertical="center"/>
    </xf>
    <xf numFmtId="182" fontId="2" fillId="4" borderId="2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center" vertical="center" shrinkToFit="1"/>
    </xf>
    <xf numFmtId="176" fontId="2" fillId="3" borderId="5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right" vertical="center"/>
    </xf>
    <xf numFmtId="177" fontId="2" fillId="4" borderId="2" xfId="0" applyNumberFormat="1" applyFont="1" applyFill="1" applyBorder="1" applyAlignment="1">
      <alignment horizontal="center"/>
    </xf>
    <xf numFmtId="176" fontId="2" fillId="3" borderId="2" xfId="0" applyNumberFormat="1" applyFont="1" applyFill="1" applyBorder="1" applyAlignment="1">
      <alignment horizontal="center"/>
    </xf>
    <xf numFmtId="178" fontId="2" fillId="3" borderId="2" xfId="0" applyNumberFormat="1" applyFont="1" applyFill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left" vertical="center"/>
    </xf>
    <xf numFmtId="183" fontId="2" fillId="4" borderId="2" xfId="0" applyNumberFormat="1" applyFont="1" applyFill="1" applyBorder="1" applyAlignment="1">
      <alignment horizontal="left" vertical="center"/>
    </xf>
    <xf numFmtId="176" fontId="2" fillId="4" borderId="5" xfId="0" applyNumberFormat="1" applyFont="1" applyFill="1" applyBorder="1" applyAlignment="1">
      <alignment horizontal="center" wrapText="1"/>
    </xf>
    <xf numFmtId="183" fontId="2" fillId="4" borderId="7" xfId="0" applyNumberFormat="1" applyFont="1" applyFill="1" applyBorder="1" applyAlignment="1">
      <alignment horizontal="left" vertical="center"/>
    </xf>
    <xf numFmtId="179" fontId="2" fillId="4" borderId="2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left" vertical="top" wrapText="1"/>
    </xf>
    <xf numFmtId="0" fontId="2" fillId="3" borderId="0" xfId="0" applyFont="1" applyFill="1" applyAlignment="1">
      <alignment vertical="center"/>
    </xf>
    <xf numFmtId="176" fontId="2" fillId="3" borderId="7" xfId="0" applyNumberFormat="1" applyFont="1" applyFill="1" applyBorder="1" applyAlignment="1">
      <alignment horizontal="center"/>
    </xf>
    <xf numFmtId="176" fontId="9" fillId="0" borderId="0" xfId="0" applyNumberFormat="1" applyFont="1" applyAlignment="1">
      <alignment horizontal="left" vertical="center"/>
    </xf>
    <xf numFmtId="176" fontId="2" fillId="4" borderId="5" xfId="0" applyNumberFormat="1" applyFont="1" applyFill="1" applyBorder="1" applyAlignment="1">
      <alignment horizontal="left" vertical="center"/>
    </xf>
    <xf numFmtId="176" fontId="2" fillId="4" borderId="2" xfId="0" applyNumberFormat="1" applyFont="1" applyFill="1" applyBorder="1" applyAlignment="1">
      <alignment horizontal="left"/>
    </xf>
    <xf numFmtId="176" fontId="2" fillId="4" borderId="5" xfId="0" applyNumberFormat="1" applyFont="1" applyFill="1" applyBorder="1" applyAlignment="1">
      <alignment horizontal="left"/>
    </xf>
    <xf numFmtId="0" fontId="2" fillId="4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 wrapText="1"/>
    </xf>
    <xf numFmtId="176" fontId="2" fillId="4" borderId="7" xfId="0" applyNumberFormat="1" applyFont="1" applyFill="1" applyBorder="1" applyAlignment="1">
      <alignment horizontal="left" vertical="top" wrapText="1"/>
    </xf>
    <xf numFmtId="176" fontId="2" fillId="4" borderId="0" xfId="0" applyNumberFormat="1" applyFont="1" applyFill="1" applyAlignment="1">
      <alignment horizontal="left" vertical="top" wrapText="1"/>
    </xf>
    <xf numFmtId="176" fontId="3" fillId="3" borderId="0" xfId="0" applyNumberFormat="1" applyFont="1" applyFill="1" applyAlignment="1">
      <alignment horizontal="center" vertical="center"/>
    </xf>
    <xf numFmtId="183" fontId="2" fillId="4" borderId="5" xfId="0" applyNumberFormat="1" applyFont="1" applyFill="1" applyBorder="1" applyAlignment="1">
      <alignment horizontal="left" vertical="center"/>
    </xf>
    <xf numFmtId="176" fontId="2" fillId="3" borderId="2" xfId="0" applyNumberFormat="1" applyFont="1" applyFill="1" applyBorder="1" applyAlignment="1">
      <alignment horizontal="left"/>
    </xf>
    <xf numFmtId="181" fontId="2" fillId="4" borderId="2" xfId="0" applyNumberFormat="1" applyFont="1" applyFill="1" applyBorder="1" applyAlignment="1">
      <alignment horizontal="center" vertical="center"/>
    </xf>
    <xf numFmtId="176" fontId="2" fillId="4" borderId="0" xfId="0" applyNumberFormat="1" applyFont="1" applyFill="1" applyAlignment="1">
      <alignment horizontal="right" vertical="center" shrinkToFit="1"/>
    </xf>
    <xf numFmtId="182" fontId="2" fillId="4" borderId="5" xfId="0" applyNumberFormat="1" applyFont="1" applyFill="1" applyBorder="1" applyAlignment="1">
      <alignment horizontal="left" vertical="center"/>
    </xf>
    <xf numFmtId="182" fontId="2" fillId="4" borderId="2" xfId="0" applyNumberFormat="1" applyFont="1" applyFill="1" applyBorder="1" applyAlignment="1">
      <alignment horizontal="center" vertical="center" shrinkToFit="1"/>
    </xf>
    <xf numFmtId="182" fontId="2" fillId="4" borderId="2" xfId="0" applyNumberFormat="1" applyFont="1" applyFill="1" applyBorder="1" applyAlignment="1">
      <alignment horizontal="center" vertical="center"/>
    </xf>
    <xf numFmtId="176" fontId="2" fillId="4" borderId="5" xfId="0" applyNumberFormat="1" applyFont="1" applyFill="1" applyBorder="1" applyAlignment="1">
      <alignment horizontal="center"/>
    </xf>
    <xf numFmtId="176" fontId="2" fillId="3" borderId="5" xfId="0" applyNumberFormat="1" applyFont="1" applyFill="1" applyBorder="1" applyAlignment="1">
      <alignment horizontal="center" vertical="center"/>
    </xf>
    <xf numFmtId="176" fontId="2" fillId="4" borderId="0" xfId="0" applyNumberFormat="1" applyFont="1" applyFill="1" applyAlignment="1">
      <alignment horizontal="center" vertical="center"/>
    </xf>
    <xf numFmtId="180" fontId="2" fillId="4" borderId="1" xfId="0" applyNumberFormat="1" applyFont="1" applyFill="1" applyBorder="1" applyAlignment="1">
      <alignment horizontal="left" vertical="center"/>
    </xf>
    <xf numFmtId="185" fontId="2" fillId="3" borderId="0" xfId="0" applyNumberFormat="1" applyFont="1" applyFill="1" applyAlignment="1">
      <alignment horizontal="left" vertical="center"/>
    </xf>
    <xf numFmtId="184" fontId="2" fillId="4" borderId="2" xfId="0" applyNumberFormat="1" applyFont="1" applyFill="1" applyBorder="1" applyAlignment="1">
      <alignment horizontal="center" vertical="center" shrinkToFit="1"/>
    </xf>
    <xf numFmtId="181" fontId="2" fillId="4" borderId="7" xfId="0" applyNumberFormat="1" applyFont="1" applyFill="1" applyBorder="1" applyAlignment="1">
      <alignment horizontal="left" vertical="center"/>
    </xf>
    <xf numFmtId="176" fontId="2" fillId="4" borderId="6" xfId="0" applyNumberFormat="1" applyFont="1" applyFill="1" applyBorder="1" applyAlignment="1">
      <alignment horizontal="left" vertical="center" wrapText="1"/>
    </xf>
    <xf numFmtId="176" fontId="2" fillId="3" borderId="0" xfId="0" applyNumberFormat="1" applyFont="1" applyFill="1" applyAlignment="1">
      <alignment vertical="center" wrapText="1"/>
    </xf>
    <xf numFmtId="49" fontId="17" fillId="6" borderId="20" xfId="0" applyNumberFormat="1" applyFont="1" applyFill="1" applyBorder="1" applyAlignment="1">
      <alignment horizontal="left"/>
    </xf>
    <xf numFmtId="49" fontId="17" fillId="6" borderId="8" xfId="0" applyNumberFormat="1" applyFont="1" applyFill="1" applyBorder="1" applyAlignment="1">
      <alignment horizontal="left"/>
    </xf>
  </cellXfs>
  <cellStyles count="17">
    <cellStyle name="一般" xfId="0" builtinId="0"/>
    <cellStyle name="一般 3" xfId="16" xr:uid="{00000000-0005-0000-0000-000000000000}"/>
    <cellStyle name="一般 3 2" xfId="1" xr:uid="{00000000-0005-0000-0000-000001000000}"/>
    <cellStyle name="一般 3 2 2" xfId="2" xr:uid="{00000000-0005-0000-0000-000002000000}"/>
    <cellStyle name="一般 3 3" xfId="3" xr:uid="{00000000-0005-0000-0000-000003000000}"/>
    <cellStyle name="常规 2" xfId="4" xr:uid="{00000000-0005-0000-0000-000005000000}"/>
    <cellStyle name="常规 2 2" xfId="5" xr:uid="{00000000-0005-0000-0000-000006000000}"/>
    <cellStyle name="常规 2 2 2" xfId="6" xr:uid="{00000000-0005-0000-0000-000007000000}"/>
    <cellStyle name="常规 2 3" xfId="7" xr:uid="{00000000-0005-0000-0000-000008000000}"/>
    <cellStyle name="常规 2 3 2" xfId="8" xr:uid="{00000000-0005-0000-0000-000009000000}"/>
    <cellStyle name="常规 3" xfId="9" xr:uid="{00000000-0005-0000-0000-00000A000000}"/>
    <cellStyle name="常规 3 2" xfId="10" xr:uid="{00000000-0005-0000-0000-00000B000000}"/>
    <cellStyle name="常规 4" xfId="11" xr:uid="{00000000-0005-0000-0000-00000C000000}"/>
    <cellStyle name="常规 4 2" xfId="12" xr:uid="{00000000-0005-0000-0000-00000D000000}"/>
    <cellStyle name="超链接 2" xfId="13" xr:uid="{00000000-0005-0000-0000-00000E000000}"/>
    <cellStyle name="超链接 3" xfId="14" xr:uid="{00000000-0005-0000-0000-00000F000000}"/>
    <cellStyle name="超链接 3 2" xfId="15" xr:uid="{00000000-0005-0000-0000-000010000000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WB"/>
  <dimension ref="A1:BN64"/>
  <sheetViews>
    <sheetView zoomScaleNormal="100" workbookViewId="0">
      <selection activeCell="U14" sqref="U14:AN19"/>
    </sheetView>
  </sheetViews>
  <sheetFormatPr defaultColWidth="2.375" defaultRowHeight="12.75" customHeight="1"/>
  <cols>
    <col min="1" max="6" width="2.375" style="4" customWidth="1"/>
    <col min="7" max="7" width="1.625" style="4" customWidth="1"/>
    <col min="8" max="18" width="2.375" style="4" customWidth="1"/>
    <col min="19" max="19" width="3.125" style="4" customWidth="1"/>
    <col min="20" max="20" width="2.375" style="4" customWidth="1"/>
    <col min="21" max="21" width="2.125" style="4" customWidth="1"/>
    <col min="22" max="22" width="2.375" style="4" customWidth="1"/>
    <col min="23" max="23" width="1.5" style="4" customWidth="1"/>
    <col min="24" max="25" width="2.375" style="4" customWidth="1"/>
    <col min="26" max="26" width="2.5" style="4" customWidth="1"/>
    <col min="27" max="28" width="2.375" style="4" customWidth="1"/>
    <col min="29" max="29" width="2" style="4" customWidth="1"/>
    <col min="30" max="32" width="2.375" style="4" customWidth="1"/>
    <col min="33" max="33" width="2.5" style="4" customWidth="1"/>
    <col min="34" max="39" width="2.375" style="4" customWidth="1"/>
    <col min="40" max="40" width="3.125" style="4" customWidth="1"/>
    <col min="41" max="57" width="2.375" style="4" customWidth="1"/>
    <col min="58" max="16384" width="2.375" style="4"/>
  </cols>
  <sheetData>
    <row r="1" spans="1:40" s="1" customFormat="1" ht="20.25" customHeight="1">
      <c r="A1" s="101">
        <v>501</v>
      </c>
      <c r="B1" s="92"/>
      <c r="C1" s="102" t="s">
        <v>138</v>
      </c>
      <c r="D1" s="92"/>
      <c r="E1" s="109">
        <v>55588035</v>
      </c>
      <c r="F1" s="92"/>
      <c r="G1" s="92"/>
      <c r="H1" s="92"/>
      <c r="I1" s="6"/>
      <c r="J1" s="6"/>
      <c r="AF1" s="94"/>
      <c r="AG1" s="92"/>
      <c r="AH1" s="91">
        <f>A1</f>
        <v>501</v>
      </c>
      <c r="AI1" s="92"/>
      <c r="AJ1" s="93">
        <f>E1</f>
        <v>55588035</v>
      </c>
      <c r="AK1" s="92"/>
      <c r="AL1" s="92"/>
      <c r="AM1" s="92"/>
      <c r="AN1" s="92"/>
    </row>
    <row r="3" spans="1:40" ht="12" customHeight="1">
      <c r="A3" s="119" t="s">
        <v>148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Y3" s="7"/>
      <c r="Z3" s="119" t="s">
        <v>140</v>
      </c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</row>
    <row r="4" spans="1:40" ht="12" customHeight="1">
      <c r="A4" s="119"/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Y4" s="7"/>
      <c r="Z4" s="119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</row>
    <row r="5" spans="1:40" ht="12" customHeight="1">
      <c r="A5" s="119"/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Y5" s="7"/>
      <c r="Z5" s="119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</row>
    <row r="6" spans="1:40" ht="12" customHeight="1">
      <c r="A6" s="119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Y6" s="7"/>
      <c r="Z6" s="119"/>
      <c r="AA6" s="120"/>
      <c r="AB6" s="120"/>
      <c r="AC6" s="120"/>
      <c r="AD6" s="120"/>
      <c r="AE6" s="120"/>
      <c r="AF6" s="120"/>
      <c r="AG6" s="120"/>
      <c r="AH6" s="120"/>
      <c r="AI6" s="120"/>
      <c r="AJ6" s="120"/>
      <c r="AK6" s="120"/>
      <c r="AL6" s="120"/>
      <c r="AM6" s="120"/>
      <c r="AN6" s="120"/>
    </row>
    <row r="7" spans="1:40" ht="12" customHeight="1">
      <c r="A7" s="119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Z7" s="119"/>
      <c r="AA7" s="120"/>
      <c r="AB7" s="120"/>
      <c r="AC7" s="120"/>
      <c r="AD7" s="120"/>
      <c r="AE7" s="120"/>
      <c r="AF7" s="120"/>
      <c r="AG7" s="120"/>
      <c r="AH7" s="120"/>
      <c r="AI7" s="120"/>
      <c r="AJ7" s="120"/>
      <c r="AK7" s="120"/>
      <c r="AL7" s="120"/>
      <c r="AM7" s="120"/>
      <c r="AN7" s="120"/>
    </row>
    <row r="8" spans="1:40" ht="15" customHeight="1">
      <c r="AA8" s="121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</row>
    <row r="9" spans="1:40" ht="12" customHeight="1">
      <c r="A9" s="119" t="s">
        <v>141</v>
      </c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U9" s="8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  <c r="AM9" s="89"/>
    </row>
    <row r="10" spans="1:40" ht="12" customHeight="1">
      <c r="A10" s="119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AA10" s="89"/>
      <c r="AB10" s="89"/>
      <c r="AC10" s="89"/>
      <c r="AD10" s="89"/>
      <c r="AE10" s="89"/>
      <c r="AF10" s="89"/>
      <c r="AG10" s="89"/>
      <c r="AH10" s="89"/>
      <c r="AI10" s="89"/>
      <c r="AJ10" s="89"/>
      <c r="AK10" s="89"/>
      <c r="AL10" s="89"/>
      <c r="AM10" s="89"/>
    </row>
    <row r="11" spans="1:40" ht="12" customHeight="1">
      <c r="A11" s="119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AA11" s="89"/>
      <c r="AB11" s="89"/>
      <c r="AC11" s="89"/>
      <c r="AD11" s="89"/>
      <c r="AE11" s="89"/>
      <c r="AF11" s="89"/>
      <c r="AG11" s="89"/>
      <c r="AH11" s="89"/>
      <c r="AI11" s="89"/>
      <c r="AJ11" s="89"/>
      <c r="AK11" s="89"/>
      <c r="AL11" s="89"/>
      <c r="AM11" s="89"/>
    </row>
    <row r="12" spans="1:40" ht="12" customHeight="1">
      <c r="A12" s="119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</row>
    <row r="13" spans="1:40" ht="12" customHeight="1">
      <c r="A13" s="119"/>
      <c r="B13" s="120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  <c r="S13" s="120"/>
    </row>
    <row r="14" spans="1:40" ht="18" customHeight="1">
      <c r="U14" s="117" t="s">
        <v>139</v>
      </c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</row>
    <row r="15" spans="1:40" ht="12" customHeight="1">
      <c r="A15" s="136" t="s">
        <v>129</v>
      </c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</row>
    <row r="16" spans="1:40" ht="12.75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</row>
    <row r="17" spans="1:66" ht="12.75" customHeight="1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</row>
    <row r="18" spans="1:66" ht="12.75" customHeight="1"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BN18" s="4" t="s">
        <v>126</v>
      </c>
    </row>
    <row r="19" spans="1:66" ht="12.95" customHeight="1">
      <c r="A19" s="96" t="s">
        <v>130</v>
      </c>
      <c r="B19" s="89"/>
      <c r="C19" s="89"/>
      <c r="D19" s="89"/>
      <c r="E19" s="89"/>
      <c r="F19" s="89"/>
      <c r="G19" s="89"/>
      <c r="H19" s="89"/>
      <c r="I19" s="89"/>
      <c r="J19" s="89"/>
      <c r="K19" s="113"/>
      <c r="L19" s="89"/>
      <c r="M19" s="89"/>
      <c r="N19" s="89"/>
      <c r="O19" s="89"/>
      <c r="P19" s="89"/>
      <c r="Q19" s="89"/>
      <c r="R19" s="89"/>
      <c r="S19" s="89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</row>
    <row r="20" spans="1:66" ht="12" customHeight="1"/>
    <row r="21" spans="1:66" ht="15.75" customHeight="1">
      <c r="A21" s="114" t="s">
        <v>1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</row>
    <row r="22" spans="1:66" ht="12" customHeight="1"/>
    <row r="23" spans="1:66" s="1" customFormat="1" ht="15.75" customHeight="1">
      <c r="A23" s="115" t="s">
        <v>146</v>
      </c>
      <c r="B23" s="92"/>
      <c r="C23" s="92"/>
      <c r="D23" s="116" t="s">
        <v>142</v>
      </c>
      <c r="E23" s="92"/>
      <c r="F23" s="92"/>
      <c r="G23" s="92"/>
      <c r="H23" s="92"/>
      <c r="I23" s="92"/>
      <c r="J23" s="92"/>
      <c r="K23" s="92"/>
      <c r="L23" s="92"/>
      <c r="M23" s="123" t="s">
        <v>144</v>
      </c>
      <c r="N23" s="92"/>
      <c r="O23" s="123" t="s">
        <v>142</v>
      </c>
      <c r="P23" s="92"/>
      <c r="Q23" s="123"/>
      <c r="R23" s="92"/>
      <c r="S23" s="2"/>
      <c r="T23" s="112"/>
      <c r="U23" s="92"/>
      <c r="V23" s="92"/>
      <c r="X23" s="3"/>
      <c r="Y23" s="3"/>
      <c r="Z23" s="3"/>
      <c r="AA23" s="3"/>
      <c r="AC23" s="129"/>
      <c r="AD23" s="92"/>
      <c r="AE23" s="92"/>
      <c r="AF23" s="92"/>
      <c r="AG23" s="92"/>
      <c r="AH23" s="92"/>
      <c r="AI23" s="129"/>
      <c r="AJ23" s="92"/>
      <c r="AK23" s="92"/>
      <c r="AL23" s="92"/>
      <c r="AM23" s="92"/>
      <c r="AN23" s="92"/>
    </row>
    <row r="24" spans="1:66" ht="9.6" customHeight="1"/>
    <row r="25" spans="1:66" ht="14.45" customHeight="1">
      <c r="A25" s="96" t="s">
        <v>143</v>
      </c>
      <c r="B25" s="89"/>
      <c r="C25" s="89"/>
      <c r="D25" s="89"/>
      <c r="E25" s="89"/>
      <c r="F25" s="89"/>
      <c r="G25" s="89"/>
      <c r="H25" s="89"/>
      <c r="I25" s="89"/>
      <c r="J25" s="131"/>
      <c r="K25" s="89"/>
      <c r="L25" s="89"/>
      <c r="M25" s="89"/>
      <c r="N25" s="89"/>
      <c r="O25" s="89"/>
      <c r="P25" s="132"/>
      <c r="Q25" s="89"/>
      <c r="R25" s="89"/>
      <c r="S25" s="89"/>
      <c r="T25" s="89"/>
      <c r="U25" s="130"/>
      <c r="V25" s="89"/>
      <c r="W25" s="89"/>
      <c r="X25" s="89"/>
      <c r="Y25" s="89"/>
      <c r="Z25" s="89"/>
    </row>
    <row r="26" spans="1:66" ht="12.95" customHeight="1"/>
    <row r="27" spans="1:66" ht="12" customHeight="1">
      <c r="A27" s="117" t="s">
        <v>3</v>
      </c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</row>
    <row r="28" spans="1:66" ht="12" customHeight="1">
      <c r="A28" s="117"/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</row>
    <row r="29" spans="1:66" ht="12.75" customHeight="1">
      <c r="A29" s="117"/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</row>
    <row r="30" spans="1:66" ht="9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</row>
    <row r="31" spans="1:66" ht="24" customHeight="1"/>
    <row r="32" spans="1:66" ht="12" customHeight="1">
      <c r="A32" s="96">
        <v>1</v>
      </c>
      <c r="B32" s="89"/>
      <c r="C32" s="135">
        <v>2046</v>
      </c>
      <c r="D32" s="89"/>
      <c r="E32" s="89"/>
      <c r="F32" s="89"/>
      <c r="G32" s="89"/>
      <c r="H32" s="99" t="s">
        <v>0</v>
      </c>
      <c r="I32" s="89"/>
      <c r="J32" s="89"/>
      <c r="K32" s="89"/>
      <c r="L32" s="10"/>
      <c r="M32" s="124">
        <f>C32</f>
        <v>2046</v>
      </c>
      <c r="N32" s="89"/>
      <c r="O32" s="89"/>
      <c r="P32" s="89"/>
      <c r="Q32" s="127">
        <v>66.739999999999995</v>
      </c>
      <c r="R32" s="89"/>
      <c r="S32" s="89"/>
      <c r="T32" s="89"/>
      <c r="U32" s="11"/>
      <c r="V32" s="128">
        <f>M32*Q32</f>
        <v>136550.03999999998</v>
      </c>
      <c r="W32" s="89"/>
      <c r="X32" s="89"/>
      <c r="Y32" s="89"/>
      <c r="Z32" s="89"/>
      <c r="AA32" s="89"/>
      <c r="AB32" s="89"/>
      <c r="AC32" s="12"/>
      <c r="AD32" s="95" t="str">
        <f>Commodity!B1</f>
        <v>CLOTHES HS620331
SHOES HS640359
-NO BATTERY
CCTV CAMERA HS852589</v>
      </c>
      <c r="AE32" s="89"/>
      <c r="AF32" s="89"/>
      <c r="AG32" s="89"/>
      <c r="AH32" s="89"/>
      <c r="AI32" s="89"/>
      <c r="AJ32" s="89"/>
      <c r="AK32" s="89"/>
      <c r="AL32" s="89"/>
      <c r="AM32" s="89"/>
      <c r="AN32" s="89"/>
    </row>
    <row r="33" spans="1:42" ht="5.25" customHeight="1">
      <c r="A33" s="5"/>
      <c r="B33" s="5"/>
      <c r="D33" s="5"/>
      <c r="E33" s="5"/>
      <c r="F33" s="5"/>
      <c r="I33" s="5"/>
      <c r="J33" s="5"/>
      <c r="K33" s="5"/>
      <c r="L33" s="5"/>
      <c r="M33" s="5"/>
      <c r="N33" s="5"/>
      <c r="O33" s="5"/>
      <c r="P33" s="5"/>
      <c r="R33" s="5"/>
      <c r="S33" s="5"/>
      <c r="T33" s="5"/>
      <c r="U33" s="5"/>
      <c r="W33" s="5"/>
      <c r="X33" s="5"/>
      <c r="Y33" s="5"/>
      <c r="Z33" s="5"/>
      <c r="AA33" s="5"/>
      <c r="AB33" s="5"/>
      <c r="AC33" s="12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</row>
    <row r="34" spans="1:42" ht="12" customHeight="1">
      <c r="A34" s="96" t="s">
        <v>4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12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</row>
    <row r="35" spans="1:42" ht="12" customHeight="1">
      <c r="A35" s="96" t="s">
        <v>5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12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</row>
    <row r="36" spans="1:42" ht="12" customHeight="1">
      <c r="A36" s="96" t="s">
        <v>2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12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</row>
    <row r="37" spans="1:42" ht="12" customHeight="1">
      <c r="A37" s="96" t="s">
        <v>12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12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</row>
    <row r="38" spans="1:42" ht="12" customHeight="1">
      <c r="A38" s="96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12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</row>
    <row r="39" spans="1:42" ht="12" customHeight="1">
      <c r="A39" s="96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12"/>
      <c r="AD39" s="89"/>
      <c r="AE39" s="89"/>
      <c r="AF39" s="89"/>
      <c r="AG39" s="89"/>
      <c r="AH39" s="89"/>
      <c r="AI39" s="89"/>
      <c r="AJ39" s="89"/>
      <c r="AK39" s="89"/>
      <c r="AL39" s="89"/>
      <c r="AM39" s="89"/>
      <c r="AN39" s="89"/>
    </row>
    <row r="40" spans="1:42" ht="12" customHeight="1">
      <c r="A40" s="110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  <c r="AB40" s="111"/>
      <c r="AC40" s="12"/>
      <c r="AD40" s="89"/>
      <c r="AE40" s="89"/>
      <c r="AF40" s="89"/>
      <c r="AG40" s="89"/>
      <c r="AH40" s="89"/>
      <c r="AI40" s="89"/>
      <c r="AJ40" s="89"/>
      <c r="AK40" s="89"/>
      <c r="AL40" s="89"/>
      <c r="AM40" s="89"/>
      <c r="AN40" s="89"/>
    </row>
    <row r="41" spans="1:42" ht="12" customHeight="1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  <c r="AB41" s="111"/>
      <c r="AC41" s="12"/>
      <c r="AD41" s="89"/>
      <c r="AE41" s="89"/>
      <c r="AF41" s="89"/>
      <c r="AG41" s="89"/>
      <c r="AH41" s="89"/>
      <c r="AI41" s="89"/>
      <c r="AJ41" s="89"/>
      <c r="AK41" s="89"/>
      <c r="AL41" s="89"/>
      <c r="AM41" s="89"/>
      <c r="AN41" s="89"/>
    </row>
    <row r="42" spans="1:42" ht="12" customHeight="1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  <c r="AB42" s="111"/>
      <c r="AC42" s="12"/>
      <c r="AD42" s="89"/>
      <c r="AE42" s="89"/>
      <c r="AF42" s="89"/>
      <c r="AG42" s="89"/>
      <c r="AH42" s="89"/>
      <c r="AI42" s="89"/>
      <c r="AJ42" s="89"/>
      <c r="AK42" s="89"/>
      <c r="AL42" s="89"/>
      <c r="AM42" s="89"/>
      <c r="AN42" s="89"/>
    </row>
    <row r="43" spans="1:42" ht="12" customHeight="1">
      <c r="A43" s="111"/>
      <c r="B43" s="111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  <c r="AB43" s="111"/>
      <c r="AC43" s="12"/>
      <c r="AD43" s="89"/>
      <c r="AE43" s="89"/>
      <c r="AF43" s="89"/>
      <c r="AG43" s="89"/>
      <c r="AH43" s="89"/>
      <c r="AI43" s="89"/>
      <c r="AJ43" s="89"/>
      <c r="AK43" s="89"/>
      <c r="AL43" s="89"/>
      <c r="AM43" s="89"/>
      <c r="AN43" s="89"/>
    </row>
    <row r="44" spans="1:42" ht="12" customHeight="1">
      <c r="A44" s="111"/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  <c r="AB44" s="111"/>
      <c r="AC44" s="12"/>
      <c r="AD44" s="89"/>
      <c r="AE44" s="89"/>
      <c r="AF44" s="89"/>
      <c r="AG44" s="89"/>
      <c r="AH44" s="89"/>
      <c r="AI44" s="89"/>
      <c r="AJ44" s="89"/>
      <c r="AK44" s="89"/>
      <c r="AL44" s="89"/>
      <c r="AM44" s="89"/>
      <c r="AN44" s="89"/>
    </row>
    <row r="45" spans="1:42" ht="12" customHeight="1">
      <c r="A45" s="96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12"/>
      <c r="AD45" s="89"/>
      <c r="AE45" s="89"/>
      <c r="AF45" s="89"/>
      <c r="AG45" s="89"/>
      <c r="AH45" s="89"/>
      <c r="AI45" s="89"/>
      <c r="AJ45" s="89"/>
      <c r="AK45" s="89"/>
      <c r="AL45" s="89"/>
      <c r="AM45" s="89"/>
      <c r="AN45" s="89"/>
    </row>
    <row r="46" spans="1:42" ht="24.75" customHeight="1">
      <c r="AD46" s="89"/>
      <c r="AE46" s="89"/>
      <c r="AF46" s="89"/>
      <c r="AG46" s="89"/>
      <c r="AH46" s="89"/>
      <c r="AI46" s="89"/>
      <c r="AJ46" s="89"/>
      <c r="AK46" s="89"/>
      <c r="AL46" s="89"/>
      <c r="AM46" s="89"/>
      <c r="AN46" s="89"/>
    </row>
    <row r="47" spans="1:42" ht="12" customHeight="1">
      <c r="A47" s="97">
        <f>V32</f>
        <v>136550.03999999998</v>
      </c>
      <c r="B47" s="89"/>
      <c r="C47" s="89"/>
      <c r="D47" s="89"/>
      <c r="E47" s="89"/>
      <c r="F47" s="89"/>
      <c r="G47" s="89"/>
      <c r="H47" s="13"/>
      <c r="I47" s="99"/>
      <c r="J47" s="89"/>
      <c r="K47" s="89"/>
      <c r="L47" s="89"/>
      <c r="M47" s="89"/>
      <c r="N47" s="89"/>
      <c r="O47" s="7"/>
      <c r="Q47" s="100" t="s">
        <v>6</v>
      </c>
      <c r="R47" s="89"/>
      <c r="S47" s="89"/>
      <c r="T47" s="89"/>
      <c r="U47" s="126">
        <v>13</v>
      </c>
      <c r="V47" s="89"/>
      <c r="W47" s="89"/>
      <c r="X47" s="89"/>
      <c r="Y47" s="89"/>
      <c r="Z47" s="89"/>
      <c r="AA47" s="7"/>
      <c r="AB47" s="125" t="s">
        <v>7</v>
      </c>
      <c r="AC47" s="89"/>
      <c r="AD47" s="89"/>
      <c r="AE47" s="89"/>
      <c r="AF47" s="108">
        <f>ROUNDUP(C32*1.48,1)</f>
        <v>3028.1</v>
      </c>
      <c r="AG47" s="89"/>
      <c r="AH47" s="89"/>
      <c r="AI47" s="89"/>
      <c r="AJ47" s="89"/>
      <c r="AK47" s="89"/>
      <c r="AL47" s="7"/>
      <c r="AM47" s="7"/>
      <c r="AN47" s="7"/>
      <c r="AP47" s="15"/>
    </row>
    <row r="48" spans="1:42" ht="12" customHeight="1">
      <c r="P48"/>
      <c r="Q48" s="100" t="s">
        <v>8</v>
      </c>
      <c r="R48" s="89"/>
      <c r="S48" s="89"/>
      <c r="T48" s="89"/>
      <c r="U48" s="122">
        <v>18</v>
      </c>
      <c r="V48" s="89"/>
      <c r="W48" s="89"/>
      <c r="X48" s="89"/>
      <c r="Y48" s="89"/>
      <c r="Z48" s="89"/>
      <c r="AA48" s="86" t="s">
        <v>9</v>
      </c>
      <c r="AB48" s="86"/>
      <c r="AC48" s="86"/>
      <c r="AD48" s="86"/>
      <c r="AE48" s="87"/>
      <c r="AF48" s="108">
        <f>ROUNDUP(M32*2.4,1)</f>
        <v>4910.3999999999996</v>
      </c>
      <c r="AG48" s="89"/>
      <c r="AH48" s="89"/>
      <c r="AI48" s="89"/>
      <c r="AJ48" s="89"/>
      <c r="AK48" s="89"/>
      <c r="AL48" s="7"/>
      <c r="AM48" s="7"/>
      <c r="AN48" s="7"/>
    </row>
    <row r="49" spans="1:40" ht="12" customHeight="1">
      <c r="A49" s="105"/>
      <c r="B49" s="89"/>
      <c r="C49" s="89"/>
      <c r="D49" s="89"/>
      <c r="E49" s="89"/>
      <c r="F49" s="89"/>
      <c r="G49" s="89"/>
      <c r="I49" s="99"/>
      <c r="J49" s="89"/>
      <c r="K49" s="89"/>
      <c r="L49" s="89"/>
      <c r="M49" s="89"/>
      <c r="N49" s="89"/>
      <c r="O49" s="7"/>
      <c r="P49"/>
      <c r="Q49" s="100" t="s">
        <v>10</v>
      </c>
      <c r="R49" s="89"/>
      <c r="S49" s="89"/>
      <c r="T49" s="89"/>
      <c r="U49" s="122">
        <v>500</v>
      </c>
      <c r="V49" s="89"/>
      <c r="W49" s="89"/>
      <c r="X49" s="89"/>
      <c r="Y49" s="89"/>
      <c r="Z49" s="89"/>
      <c r="AA49" s="7"/>
      <c r="AB49" s="86" t="s">
        <v>11</v>
      </c>
      <c r="AC49" s="89"/>
      <c r="AD49" s="89"/>
      <c r="AE49" s="89"/>
      <c r="AF49" s="108">
        <f>ROUNDUP(M32*2.5,1)</f>
        <v>5115</v>
      </c>
      <c r="AG49" s="89"/>
      <c r="AH49" s="89"/>
      <c r="AI49" s="89"/>
      <c r="AJ49" s="89"/>
      <c r="AK49" s="89"/>
      <c r="AL49" s="7"/>
      <c r="AM49" s="7"/>
      <c r="AN49" s="7"/>
    </row>
    <row r="50" spans="1:40" ht="12" customHeight="1">
      <c r="A50" s="8" t="s">
        <v>127</v>
      </c>
      <c r="P50"/>
      <c r="Q50" s="100"/>
      <c r="R50" s="89"/>
      <c r="S50" s="89"/>
      <c r="T50" s="89"/>
      <c r="U50" s="122"/>
      <c r="V50" s="89"/>
      <c r="W50" s="89"/>
      <c r="X50" s="89"/>
      <c r="Y50" s="89"/>
      <c r="Z50" s="89"/>
      <c r="AA50" s="7"/>
      <c r="AB50" s="86"/>
      <c r="AC50" s="89"/>
      <c r="AD50" s="89"/>
      <c r="AE50" s="89"/>
      <c r="AF50" s="108"/>
      <c r="AG50" s="89"/>
      <c r="AH50" s="89"/>
      <c r="AI50" s="89"/>
      <c r="AJ50" s="89"/>
      <c r="AK50" s="89"/>
      <c r="AL50" s="7"/>
      <c r="AM50" s="7"/>
      <c r="AN50" s="7"/>
    </row>
    <row r="51" spans="1:40" ht="12" customHeight="1">
      <c r="A51" s="105"/>
      <c r="B51" s="89"/>
      <c r="C51" s="89"/>
      <c r="D51" s="89"/>
      <c r="E51" s="89"/>
      <c r="F51" s="89"/>
      <c r="G51" s="89"/>
      <c r="I51" s="105"/>
      <c r="J51" s="89"/>
      <c r="K51" s="89"/>
      <c r="L51" s="89"/>
      <c r="M51" s="89"/>
      <c r="N51" s="89"/>
      <c r="O51" s="7"/>
      <c r="P51" s="98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</row>
    <row r="52" spans="1:40" ht="12" customHeight="1"/>
    <row r="53" spans="1:40" ht="13.5" customHeight="1">
      <c r="A53" s="105"/>
      <c r="B53" s="89"/>
      <c r="C53" s="89"/>
      <c r="D53" s="89"/>
      <c r="E53" s="89"/>
      <c r="F53" s="89"/>
      <c r="G53" s="89"/>
      <c r="I53" s="99"/>
      <c r="J53" s="89"/>
      <c r="K53" s="89"/>
      <c r="L53" s="89"/>
      <c r="M53" s="89"/>
      <c r="N53" s="89"/>
      <c r="O53" s="7"/>
    </row>
    <row r="54" spans="1:40" ht="17.25" customHeight="1"/>
    <row r="55" spans="1:40" ht="12" customHeight="1">
      <c r="A55" s="106">
        <f>SUM(U47:U50) + SUM(AF47:AF50)</f>
        <v>13584.5</v>
      </c>
      <c r="B55" s="89"/>
      <c r="C55" s="89"/>
      <c r="D55" s="89"/>
      <c r="E55" s="89"/>
      <c r="F55" s="89"/>
      <c r="G55" s="89"/>
      <c r="I55" s="99"/>
      <c r="J55" s="89"/>
      <c r="K55" s="89"/>
      <c r="L55" s="89"/>
      <c r="M55" s="89"/>
      <c r="N55" s="89"/>
      <c r="O55" s="7"/>
      <c r="P55" s="107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  <c r="AL55" s="89"/>
      <c r="AM55" s="89"/>
      <c r="AN55" s="89"/>
    </row>
    <row r="56" spans="1:40" ht="12" customHeight="1">
      <c r="P56" s="107" t="str">
        <f>'MAWB Config'!B8</f>
        <v>AIR GLOBAL LIMITED / SPX</v>
      </c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  <c r="AL56" s="89"/>
      <c r="AM56" s="89"/>
      <c r="AN56" s="89"/>
    </row>
    <row r="58" spans="1:40" ht="14.25" customHeight="1"/>
    <row r="59" spans="1:40" ht="12" customHeight="1">
      <c r="A59" s="97">
        <f>A47+A55</f>
        <v>150134.53999999998</v>
      </c>
      <c r="B59" s="89"/>
      <c r="C59" s="89"/>
      <c r="D59" s="89"/>
      <c r="E59" s="89"/>
      <c r="F59" s="89"/>
      <c r="G59" s="89"/>
      <c r="I59" s="99"/>
      <c r="J59" s="89"/>
      <c r="K59" s="89"/>
      <c r="L59" s="89"/>
      <c r="M59" s="89"/>
      <c r="N59" s="89"/>
      <c r="O59" s="7"/>
      <c r="Q59" s="7"/>
      <c r="R59" s="7"/>
      <c r="S59" s="7"/>
      <c r="T59" s="7"/>
      <c r="U59" s="7"/>
      <c r="V59" s="7"/>
      <c r="W59" s="5"/>
      <c r="X59" s="14"/>
      <c r="Y59" s="14"/>
      <c r="Z59" s="14"/>
      <c r="AA59" s="14"/>
      <c r="AB59" s="14"/>
      <c r="AC59" s="14"/>
      <c r="AD59" s="5"/>
      <c r="AE59" s="5"/>
      <c r="AF59" s="5"/>
      <c r="AG59" s="14"/>
      <c r="AH59" s="14"/>
      <c r="AI59" s="14"/>
      <c r="AJ59" s="14"/>
      <c r="AK59" s="14"/>
      <c r="AL59" s="14"/>
      <c r="AM59" s="14"/>
      <c r="AN59" s="14"/>
    </row>
    <row r="60" spans="1:40" ht="12" customHeight="1">
      <c r="Q60" s="134">
        <f>'MAWB Config'!B9</f>
        <v>45698</v>
      </c>
      <c r="R60" s="89"/>
      <c r="S60" s="89"/>
      <c r="T60" s="89"/>
      <c r="U60" s="89"/>
      <c r="V60" s="89"/>
      <c r="X60" s="88" t="s">
        <v>1</v>
      </c>
      <c r="Y60" s="89"/>
      <c r="Z60" s="89"/>
      <c r="AA60" s="89"/>
      <c r="AB60" s="89"/>
      <c r="AC60" s="89"/>
      <c r="AD60" s="88"/>
      <c r="AE60" s="89"/>
      <c r="AF60" s="89"/>
      <c r="AG60" s="89"/>
      <c r="AH60" s="89"/>
      <c r="AI60" s="90" t="str">
        <f>'MAWB Config'!B10</f>
        <v>RA03854</v>
      </c>
      <c r="AJ60" s="89"/>
      <c r="AK60" s="89"/>
      <c r="AL60" s="89"/>
      <c r="AM60" s="89"/>
      <c r="AN60" s="89"/>
    </row>
    <row r="61" spans="1:40" ht="20.25" customHeight="1">
      <c r="A61" s="5"/>
      <c r="B61" s="5"/>
      <c r="C61" s="5"/>
      <c r="D61" s="5"/>
      <c r="E61" s="5"/>
      <c r="F61" s="5"/>
      <c r="G61" s="5"/>
      <c r="I61" s="5"/>
      <c r="J61" s="5"/>
      <c r="K61" s="5"/>
      <c r="L61" s="5"/>
      <c r="M61" s="5"/>
      <c r="N61" s="5"/>
      <c r="O61" s="5"/>
    </row>
    <row r="62" spans="1:40" ht="12" customHeight="1">
      <c r="AF62" s="94">
        <f>AH1</f>
        <v>501</v>
      </c>
      <c r="AG62" s="89"/>
      <c r="AH62" s="103" t="s">
        <v>138</v>
      </c>
      <c r="AI62" s="89"/>
      <c r="AJ62" s="104">
        <f>AJ1</f>
        <v>55588035</v>
      </c>
      <c r="AK62" s="89"/>
      <c r="AL62" s="89"/>
      <c r="AM62" s="89"/>
      <c r="AN62" s="89"/>
    </row>
    <row r="63" spans="1:40" ht="12" customHeight="1">
      <c r="A63" s="133"/>
      <c r="B63" s="89"/>
      <c r="C63" s="89"/>
      <c r="D63" s="133"/>
      <c r="E63" s="89"/>
      <c r="F63" s="89"/>
    </row>
    <row r="64" spans="1:40" ht="12" customHeight="1">
      <c r="A64" s="133"/>
      <c r="B64" s="89"/>
      <c r="C64" s="89"/>
      <c r="D64" s="133"/>
      <c r="E64" s="89"/>
      <c r="F64" s="89"/>
    </row>
  </sheetData>
  <mergeCells count="85">
    <mergeCell ref="A63:C63"/>
    <mergeCell ref="D63:F63"/>
    <mergeCell ref="A64:C64"/>
    <mergeCell ref="D64:F64"/>
    <mergeCell ref="A3:S7"/>
    <mergeCell ref="A9:S13"/>
    <mergeCell ref="Q50:T50"/>
    <mergeCell ref="Q60:V60"/>
    <mergeCell ref="U50:Z50"/>
    <mergeCell ref="I51:N51"/>
    <mergeCell ref="H32:K32"/>
    <mergeCell ref="C32:G32"/>
    <mergeCell ref="A32:B32"/>
    <mergeCell ref="X60:AC60"/>
    <mergeCell ref="A15:S17"/>
    <mergeCell ref="AC23:AH23"/>
    <mergeCell ref="AI23:AN23"/>
    <mergeCell ref="U25:Z25"/>
    <mergeCell ref="J25:O25"/>
    <mergeCell ref="A25:I25"/>
    <mergeCell ref="P25:T25"/>
    <mergeCell ref="AB49:AE49"/>
    <mergeCell ref="U49:Z49"/>
    <mergeCell ref="Q49:T49"/>
    <mergeCell ref="AF49:AK49"/>
    <mergeCell ref="M23:N23"/>
    <mergeCell ref="O23:P23"/>
    <mergeCell ref="Q23:R23"/>
    <mergeCell ref="M32:P32"/>
    <mergeCell ref="AB47:AE47"/>
    <mergeCell ref="U47:Z47"/>
    <mergeCell ref="AF47:AK47"/>
    <mergeCell ref="U48:Z48"/>
    <mergeCell ref="AF48:AK48"/>
    <mergeCell ref="A27:AN29"/>
    <mergeCell ref="Q32:T32"/>
    <mergeCell ref="V32:AB32"/>
    <mergeCell ref="E1:H1"/>
    <mergeCell ref="Q48:T48"/>
    <mergeCell ref="A37:AB37"/>
    <mergeCell ref="A38:AB38"/>
    <mergeCell ref="A39:AB39"/>
    <mergeCell ref="A40:AB44"/>
    <mergeCell ref="A45:AB45"/>
    <mergeCell ref="T23:V23"/>
    <mergeCell ref="A19:J19"/>
    <mergeCell ref="K19:S19"/>
    <mergeCell ref="A21:S21"/>
    <mergeCell ref="A23:C23"/>
    <mergeCell ref="D23:L23"/>
    <mergeCell ref="U14:AN19"/>
    <mergeCell ref="Z3:AN7"/>
    <mergeCell ref="AA8:AM11"/>
    <mergeCell ref="AF62:AG62"/>
    <mergeCell ref="AH62:AI62"/>
    <mergeCell ref="AJ62:AN62"/>
    <mergeCell ref="A49:G49"/>
    <mergeCell ref="I49:N49"/>
    <mergeCell ref="I59:N59"/>
    <mergeCell ref="AB50:AE50"/>
    <mergeCell ref="A55:G55"/>
    <mergeCell ref="P55:AN55"/>
    <mergeCell ref="P56:AN56"/>
    <mergeCell ref="A59:G59"/>
    <mergeCell ref="I55:N55"/>
    <mergeCell ref="A51:G51"/>
    <mergeCell ref="A53:G53"/>
    <mergeCell ref="I53:N53"/>
    <mergeCell ref="AF50:AK50"/>
    <mergeCell ref="AA48:AE48"/>
    <mergeCell ref="AD60:AH60"/>
    <mergeCell ref="AI60:AN60"/>
    <mergeCell ref="AH1:AI1"/>
    <mergeCell ref="AJ1:AN1"/>
    <mergeCell ref="AF1:AG1"/>
    <mergeCell ref="AD32:AN46"/>
    <mergeCell ref="A34:AB34"/>
    <mergeCell ref="A47:G47"/>
    <mergeCell ref="A35:AB35"/>
    <mergeCell ref="A36:AB36"/>
    <mergeCell ref="P51:AN51"/>
    <mergeCell ref="I47:N47"/>
    <mergeCell ref="Q47:T47"/>
    <mergeCell ref="A1:B1"/>
    <mergeCell ref="C1:D1"/>
  </mergeCells>
  <phoneticPr fontId="10" type="noConversion"/>
  <conditionalFormatting sqref="C32:G32">
    <cfRule type="expression" dxfId="1" priority="1">
      <formula>NOT(ISNUMBER(C32))</formula>
    </cfRule>
  </conditionalFormatting>
  <conditionalFormatting sqref="M32:P32">
    <cfRule type="expression" dxfId="0" priority="3">
      <formula>NOT(ISNUMBER(M32))</formula>
    </cfRule>
  </conditionalFormatting>
  <pageMargins left="0.43263888888888902" right="0" top="0.66805555555555596" bottom="0" header="0.51180555555555596" footer="0.51180555555555596"/>
  <pageSetup paperSize="9" orientation="portrait" draft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10C96-B772-4EDD-855E-5CC872BE8869}">
  <sheetPr codeName="Main_MAWBConfig"/>
  <dimension ref="A1:Y54"/>
  <sheetViews>
    <sheetView tabSelected="1" workbookViewId="0">
      <selection activeCell="A18" sqref="A18"/>
    </sheetView>
  </sheetViews>
  <sheetFormatPr defaultColWidth="9" defaultRowHeight="15.75"/>
  <cols>
    <col min="1" max="1" width="17.125" style="21" bestFit="1" customWidth="1"/>
    <col min="2" max="2" width="4.875" style="21" customWidth="1"/>
    <col min="3" max="4" width="9.625" style="21" customWidth="1"/>
    <col min="5" max="5" width="12" style="21" customWidth="1"/>
    <col min="6" max="6" width="5" style="21" bestFit="1" customWidth="1"/>
    <col min="7" max="7" width="13" style="21" customWidth="1"/>
    <col min="8" max="8" width="7" style="21" customWidth="1"/>
    <col min="9" max="9" width="6.625" style="21" bestFit="1" customWidth="1"/>
    <col min="10" max="10" width="7.625" style="21" bestFit="1" customWidth="1"/>
    <col min="11" max="11" width="7.875" style="21" customWidth="1"/>
    <col min="12" max="12" width="12.125" style="21" bestFit="1" customWidth="1"/>
    <col min="13" max="13" width="9" style="21"/>
    <col min="14" max="14" width="1.625" style="52" customWidth="1"/>
    <col min="15" max="19" width="9" style="21"/>
    <col min="20" max="20" width="20.375" style="21" customWidth="1"/>
    <col min="21" max="16384" width="9" style="21"/>
  </cols>
  <sheetData>
    <row r="1" spans="1:25">
      <c r="A1" s="23"/>
      <c r="G1" s="42"/>
    </row>
    <row r="2" spans="1:25">
      <c r="A2" s="49" t="s">
        <v>81</v>
      </c>
      <c r="B2" s="72" t="s">
        <v>108</v>
      </c>
      <c r="C2" s="43"/>
      <c r="D2" s="43"/>
      <c r="E2" s="44"/>
      <c r="G2" s="42"/>
      <c r="P2" s="66" t="s">
        <v>107</v>
      </c>
      <c r="Q2" s="67"/>
      <c r="R2" s="67"/>
      <c r="S2" s="67"/>
      <c r="T2" s="67"/>
      <c r="U2" s="67"/>
      <c r="V2" s="67"/>
      <c r="W2" s="68"/>
    </row>
    <row r="3" spans="1:25" ht="61.5" customHeight="1">
      <c r="A3" s="49" t="s">
        <v>82</v>
      </c>
      <c r="B3" s="48" t="str">
        <f>VLOOKUP(B2,'Airline Info and Remark'!A:B,2,)</f>
        <v>ETHIOPIAN AIRLINES GROUP
ADDIS ABABA, ETHIOPIA</v>
      </c>
      <c r="C3" s="45"/>
      <c r="D3" s="45"/>
      <c r="E3" s="46"/>
      <c r="G3" s="42"/>
      <c r="P3" s="69" t="str">
        <f>H5 &amp; " (" &amp; B2 &amp; ")"</f>
        <v>ET (071)</v>
      </c>
      <c r="Q3" s="70"/>
      <c r="R3" s="70"/>
      <c r="S3" s="70"/>
      <c r="T3" s="70"/>
      <c r="U3" s="70"/>
      <c r="V3" s="70"/>
      <c r="W3" s="71"/>
    </row>
    <row r="4" spans="1:25">
      <c r="A4" s="23"/>
      <c r="G4" s="42"/>
      <c r="P4" s="77" t="str">
        <f>VLOOKUP(B2,'Airline Info and Remark'!A:C,3,)</f>
        <v>ET REMARK</v>
      </c>
      <c r="Q4" s="78"/>
      <c r="R4" s="78"/>
      <c r="S4" s="78"/>
      <c r="T4" s="78"/>
      <c r="U4" s="78"/>
      <c r="V4" s="78"/>
      <c r="W4" s="79"/>
    </row>
    <row r="5" spans="1:25">
      <c r="A5" s="49" t="s">
        <v>74</v>
      </c>
      <c r="B5" s="43" t="s">
        <v>75</v>
      </c>
      <c r="C5" s="43"/>
      <c r="D5" s="43"/>
      <c r="E5" s="44"/>
      <c r="G5" s="49" t="s">
        <v>134</v>
      </c>
      <c r="H5" s="60" t="s">
        <v>105</v>
      </c>
      <c r="I5" s="61"/>
      <c r="P5" s="80"/>
      <c r="Q5" s="81"/>
      <c r="R5" s="81"/>
      <c r="S5" s="81"/>
      <c r="T5" s="81"/>
      <c r="U5" s="81"/>
      <c r="V5" s="81"/>
      <c r="W5" s="82"/>
    </row>
    <row r="6" spans="1:25">
      <c r="A6" s="49" t="s">
        <v>76</v>
      </c>
      <c r="B6" s="43" t="s">
        <v>77</v>
      </c>
      <c r="C6" s="43"/>
      <c r="D6" s="43"/>
      <c r="E6" s="44"/>
      <c r="G6" s="49" t="s">
        <v>131</v>
      </c>
      <c r="H6" s="60" t="s">
        <v>80</v>
      </c>
      <c r="I6" s="61"/>
      <c r="P6" s="80"/>
      <c r="Q6" s="81"/>
      <c r="R6" s="81"/>
      <c r="S6" s="81"/>
      <c r="T6" s="81"/>
      <c r="U6" s="81"/>
      <c r="V6" s="81"/>
      <c r="W6" s="82"/>
    </row>
    <row r="7" spans="1:25">
      <c r="A7" s="49" t="s">
        <v>78</v>
      </c>
      <c r="B7" s="138"/>
      <c r="C7" s="139"/>
      <c r="D7" s="43"/>
      <c r="E7" s="44"/>
      <c r="G7" s="49" t="s">
        <v>132</v>
      </c>
      <c r="H7" s="60"/>
      <c r="I7" s="61"/>
      <c r="P7" s="80"/>
      <c r="Q7" s="81"/>
      <c r="R7" s="81"/>
      <c r="S7" s="81"/>
      <c r="T7" s="81"/>
      <c r="U7" s="81"/>
      <c r="V7" s="81"/>
      <c r="W7" s="82"/>
    </row>
    <row r="8" spans="1:25">
      <c r="A8" s="49" t="s">
        <v>87</v>
      </c>
      <c r="B8" s="43" t="s">
        <v>88</v>
      </c>
      <c r="C8" s="43"/>
      <c r="D8" s="43"/>
      <c r="E8" s="44"/>
      <c r="G8" s="49" t="s">
        <v>79</v>
      </c>
      <c r="H8" s="51">
        <v>45722</v>
      </c>
      <c r="I8" s="46"/>
      <c r="P8" s="80"/>
      <c r="Q8" s="81"/>
      <c r="R8" s="81"/>
      <c r="S8" s="81"/>
      <c r="T8" s="81"/>
      <c r="U8" s="81"/>
      <c r="V8" s="81"/>
      <c r="W8" s="82"/>
    </row>
    <row r="9" spans="1:25">
      <c r="A9" s="49" t="s">
        <v>84</v>
      </c>
      <c r="B9" s="50">
        <v>45698</v>
      </c>
      <c r="C9" s="47"/>
      <c r="D9" s="43"/>
      <c r="E9" s="44"/>
      <c r="G9" s="42"/>
      <c r="P9" s="80"/>
      <c r="Q9" s="81"/>
      <c r="R9" s="81"/>
      <c r="S9" s="81"/>
      <c r="T9" s="81"/>
      <c r="U9" s="81"/>
      <c r="V9" s="81"/>
      <c r="W9" s="82"/>
    </row>
    <row r="10" spans="1:25">
      <c r="A10" s="49" t="s">
        <v>85</v>
      </c>
      <c r="B10" s="43" t="s">
        <v>86</v>
      </c>
      <c r="C10" s="43"/>
      <c r="D10" s="43"/>
      <c r="E10" s="44"/>
      <c r="G10" s="49" t="s">
        <v>137</v>
      </c>
      <c r="H10" s="60" t="s">
        <v>145</v>
      </c>
      <c r="I10" s="61"/>
      <c r="P10" s="83"/>
      <c r="Q10" s="84"/>
      <c r="R10" s="84"/>
      <c r="S10" s="84"/>
      <c r="T10" s="84"/>
      <c r="U10" s="84"/>
      <c r="V10" s="84"/>
      <c r="W10" s="85"/>
    </row>
    <row r="11" spans="1:25">
      <c r="A11" s="23"/>
      <c r="G11" s="42"/>
    </row>
    <row r="12" spans="1:25">
      <c r="A12" s="23"/>
      <c r="G12" s="42"/>
    </row>
    <row r="13" spans="1:25" s="17" customFormat="1" ht="12.75">
      <c r="A13" s="16" t="s">
        <v>13</v>
      </c>
      <c r="B13" s="17" t="s">
        <v>14</v>
      </c>
      <c r="C13" s="17" t="s">
        <v>15</v>
      </c>
      <c r="D13" s="17" t="s">
        <v>16</v>
      </c>
      <c r="E13" s="17" t="s">
        <v>17</v>
      </c>
      <c r="F13" s="18" t="s">
        <v>18</v>
      </c>
      <c r="G13" s="17" t="s">
        <v>19</v>
      </c>
      <c r="H13" s="17" t="s">
        <v>20</v>
      </c>
      <c r="I13" s="19" t="s">
        <v>21</v>
      </c>
      <c r="J13" s="17" t="s">
        <v>22</v>
      </c>
      <c r="K13" s="20"/>
      <c r="L13" s="17" t="s">
        <v>23</v>
      </c>
      <c r="M13" s="17" t="s">
        <v>73</v>
      </c>
      <c r="N13" s="53"/>
      <c r="P13" s="17" t="s">
        <v>98</v>
      </c>
      <c r="Q13" s="17" t="s">
        <v>99</v>
      </c>
      <c r="R13" s="17" t="s">
        <v>100</v>
      </c>
      <c r="S13" s="17" t="s">
        <v>101</v>
      </c>
      <c r="T13" s="17" t="s">
        <v>103</v>
      </c>
      <c r="U13" s="17" t="s">
        <v>102</v>
      </c>
      <c r="V13" s="17" t="s">
        <v>119</v>
      </c>
    </row>
    <row r="16" spans="1:25">
      <c r="A16" s="22">
        <v>7155587685</v>
      </c>
      <c r="B16" s="23" t="s">
        <v>31</v>
      </c>
      <c r="C16" s="23">
        <v>136</v>
      </c>
      <c r="D16" s="23">
        <v>2633</v>
      </c>
      <c r="E16" s="23"/>
      <c r="F16" s="24" t="s">
        <v>32</v>
      </c>
      <c r="G16" s="25" t="s">
        <v>33</v>
      </c>
      <c r="H16" s="25" t="s">
        <v>24</v>
      </c>
      <c r="I16" s="26"/>
      <c r="J16" s="25">
        <v>1</v>
      </c>
      <c r="K16" s="27"/>
      <c r="L16" s="25"/>
      <c r="M16" s="28"/>
      <c r="P16" s="23" t="s">
        <v>89</v>
      </c>
      <c r="Q16" s="74" t="s">
        <v>92</v>
      </c>
      <c r="R16" s="23"/>
      <c r="S16" s="23" t="s">
        <v>89</v>
      </c>
      <c r="T16" s="23"/>
      <c r="U16" s="23" t="s">
        <v>89</v>
      </c>
      <c r="V16" s="21" t="s">
        <v>110</v>
      </c>
      <c r="W16" s="21" t="s">
        <v>112</v>
      </c>
      <c r="X16" s="21" t="s">
        <v>113</v>
      </c>
      <c r="Y16" s="21" t="s">
        <v>114</v>
      </c>
    </row>
    <row r="17" spans="1:22">
      <c r="A17" s="29">
        <v>7155588035</v>
      </c>
      <c r="B17" s="25" t="s">
        <v>31</v>
      </c>
      <c r="C17" s="23">
        <v>66</v>
      </c>
      <c r="D17" s="23">
        <v>1209</v>
      </c>
      <c r="E17" s="23"/>
      <c r="F17" s="26" t="s">
        <v>32</v>
      </c>
      <c r="G17" s="30" t="s">
        <v>34</v>
      </c>
      <c r="H17" s="30" t="s">
        <v>25</v>
      </c>
      <c r="I17" s="26"/>
      <c r="J17" s="25">
        <v>1</v>
      </c>
      <c r="K17" s="27"/>
      <c r="L17" s="25"/>
      <c r="M17" s="31" t="s">
        <v>35</v>
      </c>
      <c r="P17" s="23" t="s">
        <v>109</v>
      </c>
      <c r="Q17" s="23" t="s">
        <v>92</v>
      </c>
      <c r="R17" s="23"/>
      <c r="S17" s="23" t="s">
        <v>89</v>
      </c>
      <c r="T17" s="23"/>
      <c r="U17" s="23" t="s">
        <v>89</v>
      </c>
      <c r="V17" s="21" t="s">
        <v>111</v>
      </c>
    </row>
    <row r="18" spans="1:22">
      <c r="A18" s="29">
        <v>7155587976</v>
      </c>
      <c r="B18" s="25" t="s">
        <v>31</v>
      </c>
      <c r="C18" s="23">
        <v>30</v>
      </c>
      <c r="D18" s="23">
        <v>608</v>
      </c>
      <c r="E18" s="23"/>
      <c r="F18" s="26" t="s">
        <v>32</v>
      </c>
      <c r="G18" s="30" t="s">
        <v>34</v>
      </c>
      <c r="H18" s="30" t="s">
        <v>25</v>
      </c>
      <c r="I18" s="26"/>
      <c r="J18" s="25">
        <v>1</v>
      </c>
      <c r="K18" s="27"/>
      <c r="L18" s="25"/>
      <c r="M18" s="31" t="s">
        <v>35</v>
      </c>
      <c r="P18" s="23" t="s">
        <v>89</v>
      </c>
      <c r="Q18" s="23" t="s">
        <v>92</v>
      </c>
      <c r="R18" s="23"/>
      <c r="S18" s="23" t="s">
        <v>89</v>
      </c>
      <c r="T18" s="23"/>
      <c r="U18" s="23" t="s">
        <v>89</v>
      </c>
    </row>
    <row r="19" spans="1:22">
      <c r="A19" s="22">
        <v>7155587733</v>
      </c>
      <c r="B19" s="23" t="s">
        <v>31</v>
      </c>
      <c r="C19" s="23">
        <v>136</v>
      </c>
      <c r="D19" s="23">
        <v>2387</v>
      </c>
      <c r="E19" s="23"/>
      <c r="F19" s="24" t="s">
        <v>32</v>
      </c>
      <c r="G19" s="25" t="s">
        <v>36</v>
      </c>
      <c r="H19" s="25" t="s">
        <v>24</v>
      </c>
      <c r="I19" s="26"/>
      <c r="J19" s="25">
        <v>1</v>
      </c>
      <c r="K19" s="27"/>
      <c r="L19" s="25"/>
      <c r="M19" s="28"/>
      <c r="P19" s="23" t="s">
        <v>89</v>
      </c>
      <c r="Q19" s="23">
        <v>111</v>
      </c>
      <c r="R19" s="23"/>
      <c r="S19" s="23" t="s">
        <v>89</v>
      </c>
      <c r="T19" s="23"/>
      <c r="U19" s="23" t="s">
        <v>89</v>
      </c>
    </row>
    <row r="20" spans="1:22">
      <c r="A20" s="22">
        <v>7155587700</v>
      </c>
      <c r="B20" s="23" t="s">
        <v>31</v>
      </c>
      <c r="C20" s="23">
        <v>136</v>
      </c>
      <c r="D20" s="23">
        <v>2648</v>
      </c>
      <c r="E20" s="23"/>
      <c r="F20" s="24" t="s">
        <v>32</v>
      </c>
      <c r="G20" s="25" t="s">
        <v>37</v>
      </c>
      <c r="H20" s="25" t="s">
        <v>24</v>
      </c>
      <c r="I20" s="26"/>
      <c r="J20" s="25">
        <v>1</v>
      </c>
      <c r="K20" s="27"/>
      <c r="L20" s="25"/>
      <c r="M20" s="28"/>
      <c r="P20" s="23" t="s">
        <v>89</v>
      </c>
      <c r="Q20" s="23" t="s">
        <v>92</v>
      </c>
      <c r="R20" s="23" t="s">
        <v>124</v>
      </c>
      <c r="S20" s="23" t="s">
        <v>89</v>
      </c>
      <c r="T20" s="23"/>
      <c r="U20" s="23" t="s">
        <v>89</v>
      </c>
    </row>
    <row r="21" spans="1:22">
      <c r="A21" s="22">
        <v>7155587696</v>
      </c>
      <c r="B21" s="23" t="s">
        <v>135</v>
      </c>
      <c r="C21" s="23">
        <v>136</v>
      </c>
      <c r="D21" s="23">
        <v>2556</v>
      </c>
      <c r="E21" s="23"/>
      <c r="F21" s="24" t="s">
        <v>32</v>
      </c>
      <c r="G21" s="25" t="s">
        <v>38</v>
      </c>
      <c r="H21" s="25" t="s">
        <v>24</v>
      </c>
      <c r="I21" s="26"/>
      <c r="J21" s="25">
        <v>1</v>
      </c>
      <c r="K21" s="27"/>
      <c r="L21" s="25"/>
      <c r="M21" s="28"/>
      <c r="P21" s="23" t="s">
        <v>89</v>
      </c>
      <c r="Q21" s="23" t="s">
        <v>92</v>
      </c>
      <c r="R21" s="23" t="s">
        <v>125</v>
      </c>
      <c r="S21" s="23" t="s">
        <v>89</v>
      </c>
      <c r="T21" s="23"/>
      <c r="U21" s="23" t="s">
        <v>89</v>
      </c>
    </row>
    <row r="22" spans="1:22">
      <c r="A22" s="29">
        <v>7155588046</v>
      </c>
      <c r="B22" s="25" t="s">
        <v>31</v>
      </c>
      <c r="C22" s="23">
        <v>40</v>
      </c>
      <c r="D22" s="23">
        <v>730</v>
      </c>
      <c r="E22" s="25"/>
      <c r="F22" s="32" t="s">
        <v>32</v>
      </c>
      <c r="G22" s="33" t="s">
        <v>39</v>
      </c>
      <c r="H22" s="33" t="s">
        <v>25</v>
      </c>
      <c r="I22" s="26"/>
      <c r="J22" s="25">
        <v>1</v>
      </c>
      <c r="K22" s="27"/>
      <c r="L22" s="25"/>
      <c r="M22" s="34" t="s">
        <v>40</v>
      </c>
      <c r="P22" s="23" t="s">
        <v>89</v>
      </c>
      <c r="Q22" s="23" t="s">
        <v>92</v>
      </c>
      <c r="R22" s="23">
        <v>1</v>
      </c>
      <c r="S22" s="23" t="s">
        <v>89</v>
      </c>
      <c r="T22" s="23"/>
      <c r="U22" s="23" t="s">
        <v>89</v>
      </c>
    </row>
    <row r="23" spans="1:22">
      <c r="A23" s="29">
        <v>7155587980</v>
      </c>
      <c r="B23" s="25" t="s">
        <v>31</v>
      </c>
      <c r="C23" s="23">
        <v>57</v>
      </c>
      <c r="D23" s="23">
        <v>1008</v>
      </c>
      <c r="E23" s="25"/>
      <c r="F23" s="32" t="s">
        <v>32</v>
      </c>
      <c r="G23" s="33" t="s">
        <v>39</v>
      </c>
      <c r="H23" s="33" t="s">
        <v>41</v>
      </c>
      <c r="I23" s="26"/>
      <c r="J23" s="25">
        <v>1</v>
      </c>
      <c r="K23" s="27"/>
      <c r="L23" s="25"/>
      <c r="M23" s="34" t="s">
        <v>40</v>
      </c>
      <c r="P23" s="23" t="s">
        <v>89</v>
      </c>
      <c r="Q23" s="23" t="s">
        <v>92</v>
      </c>
      <c r="R23" s="23"/>
      <c r="S23" s="23" t="s">
        <v>89</v>
      </c>
      <c r="T23" s="23"/>
      <c r="U23" s="23" t="s">
        <v>89</v>
      </c>
    </row>
    <row r="24" spans="1:22">
      <c r="A24" s="22">
        <v>7155588002</v>
      </c>
      <c r="B24" s="23" t="s">
        <v>31</v>
      </c>
      <c r="C24" s="23">
        <v>96</v>
      </c>
      <c r="D24" s="23">
        <v>1787</v>
      </c>
      <c r="E24" s="23"/>
      <c r="F24" s="24" t="s">
        <v>32</v>
      </c>
      <c r="G24" s="25" t="s">
        <v>42</v>
      </c>
      <c r="H24" s="25" t="s">
        <v>25</v>
      </c>
      <c r="I24" s="26"/>
      <c r="J24" s="25">
        <v>1</v>
      </c>
      <c r="K24" s="27"/>
      <c r="L24" s="25"/>
      <c r="M24" s="28"/>
      <c r="P24" s="23" t="s">
        <v>89</v>
      </c>
      <c r="Q24" s="23" t="s">
        <v>92</v>
      </c>
      <c r="R24" s="23"/>
      <c r="S24" s="23" t="s">
        <v>89</v>
      </c>
      <c r="T24" s="23"/>
      <c r="U24" s="23" t="s">
        <v>89</v>
      </c>
    </row>
    <row r="25" spans="1:22">
      <c r="A25" s="22">
        <v>7155587991</v>
      </c>
      <c r="B25" s="23" t="s">
        <v>31</v>
      </c>
      <c r="C25" s="23">
        <v>96</v>
      </c>
      <c r="D25" s="23">
        <v>1791</v>
      </c>
      <c r="E25" s="23"/>
      <c r="F25" s="35" t="s">
        <v>32</v>
      </c>
      <c r="G25" s="23" t="s">
        <v>43</v>
      </c>
      <c r="H25" s="23" t="s">
        <v>25</v>
      </c>
      <c r="I25" s="35"/>
      <c r="J25" s="25">
        <v>1</v>
      </c>
      <c r="K25" s="27"/>
      <c r="L25" s="25"/>
      <c r="M25" s="28"/>
      <c r="P25" s="23" t="s">
        <v>89</v>
      </c>
      <c r="Q25" s="23" t="s">
        <v>92</v>
      </c>
      <c r="R25" s="23"/>
      <c r="S25" s="23" t="s">
        <v>89</v>
      </c>
      <c r="T25" s="23"/>
      <c r="U25" s="23" t="s">
        <v>89</v>
      </c>
    </row>
    <row r="26" spans="1:22">
      <c r="A26" s="22">
        <v>7155587954</v>
      </c>
      <c r="B26" s="23" t="s">
        <v>31</v>
      </c>
      <c r="C26" s="23">
        <v>116</v>
      </c>
      <c r="D26" s="23">
        <v>2266</v>
      </c>
      <c r="E26" s="23"/>
      <c r="F26" s="35" t="s">
        <v>32</v>
      </c>
      <c r="G26" s="23" t="s">
        <v>44</v>
      </c>
      <c r="H26" s="23" t="s">
        <v>26</v>
      </c>
      <c r="I26" s="35"/>
      <c r="J26" s="23">
        <v>1</v>
      </c>
      <c r="K26" s="27"/>
      <c r="L26" s="25"/>
      <c r="M26" s="28"/>
      <c r="P26" s="23" t="s">
        <v>89</v>
      </c>
      <c r="Q26" s="23" t="s">
        <v>92</v>
      </c>
      <c r="R26" s="23"/>
      <c r="S26" s="23" t="s">
        <v>89</v>
      </c>
      <c r="T26" s="23"/>
      <c r="U26" s="23" t="s">
        <v>89</v>
      </c>
    </row>
    <row r="27" spans="1:22">
      <c r="A27" s="22">
        <v>7155587722</v>
      </c>
      <c r="B27" s="23" t="s">
        <v>31</v>
      </c>
      <c r="C27" s="23">
        <v>136</v>
      </c>
      <c r="D27" s="23">
        <v>2585</v>
      </c>
      <c r="E27" s="23"/>
      <c r="F27" s="24" t="s">
        <v>32</v>
      </c>
      <c r="G27" s="25" t="s">
        <v>45</v>
      </c>
      <c r="H27" s="25" t="s">
        <v>24</v>
      </c>
      <c r="I27" s="26"/>
      <c r="J27" s="25">
        <v>1</v>
      </c>
      <c r="K27" s="27"/>
      <c r="L27" s="25"/>
      <c r="M27" s="28"/>
      <c r="P27" s="23" t="s">
        <v>89</v>
      </c>
      <c r="Q27" s="23" t="s">
        <v>92</v>
      </c>
      <c r="R27" s="23"/>
      <c r="S27" s="23" t="s">
        <v>89</v>
      </c>
      <c r="T27" s="23"/>
      <c r="U27" s="23" t="s">
        <v>89</v>
      </c>
    </row>
    <row r="28" spans="1:22">
      <c r="A28" s="22">
        <v>7155587711</v>
      </c>
      <c r="B28" s="23" t="s">
        <v>31</v>
      </c>
      <c r="C28" s="23">
        <v>136</v>
      </c>
      <c r="D28" s="23">
        <v>2354</v>
      </c>
      <c r="E28" s="23"/>
      <c r="F28" s="35" t="s">
        <v>32</v>
      </c>
      <c r="G28" s="25" t="s">
        <v>46</v>
      </c>
      <c r="H28" s="25" t="s">
        <v>24</v>
      </c>
      <c r="I28" s="26"/>
      <c r="J28" s="25">
        <v>1</v>
      </c>
      <c r="K28" s="27"/>
      <c r="L28" s="25"/>
      <c r="M28" s="28"/>
      <c r="P28" s="23" t="s">
        <v>89</v>
      </c>
      <c r="Q28" s="23" t="s">
        <v>92</v>
      </c>
      <c r="R28" s="23"/>
      <c r="S28" s="23" t="s">
        <v>89</v>
      </c>
      <c r="T28" s="23"/>
      <c r="U28" s="23" t="s">
        <v>89</v>
      </c>
    </row>
    <row r="29" spans="1:22">
      <c r="A29" s="29">
        <v>7155588024</v>
      </c>
      <c r="B29" s="25" t="s">
        <v>31</v>
      </c>
      <c r="C29" s="23">
        <v>61</v>
      </c>
      <c r="D29" s="23">
        <v>1107</v>
      </c>
      <c r="E29" s="25"/>
      <c r="F29" s="27" t="s">
        <v>32</v>
      </c>
      <c r="G29" s="36" t="s">
        <v>47</v>
      </c>
      <c r="H29" s="36" t="s">
        <v>25</v>
      </c>
      <c r="I29" s="26"/>
      <c r="J29" s="25">
        <v>1</v>
      </c>
      <c r="K29" s="27"/>
      <c r="L29" s="25"/>
      <c r="M29" s="37" t="s">
        <v>48</v>
      </c>
      <c r="P29" s="23" t="s">
        <v>89</v>
      </c>
      <c r="Q29" s="23" t="s">
        <v>92</v>
      </c>
      <c r="R29" s="23"/>
      <c r="S29" s="23" t="s">
        <v>89</v>
      </c>
      <c r="T29" s="23"/>
      <c r="U29" s="23" t="s">
        <v>89</v>
      </c>
    </row>
    <row r="30" spans="1:22">
      <c r="A30" s="29">
        <v>7155587965</v>
      </c>
      <c r="B30" s="25" t="s">
        <v>31</v>
      </c>
      <c r="C30" s="23">
        <v>37</v>
      </c>
      <c r="D30" s="23">
        <v>671</v>
      </c>
      <c r="E30" s="25"/>
      <c r="F30" s="27" t="s">
        <v>32</v>
      </c>
      <c r="G30" s="36" t="s">
        <v>47</v>
      </c>
      <c r="H30" s="36" t="s">
        <v>25</v>
      </c>
      <c r="I30" s="26"/>
      <c r="J30" s="25">
        <v>1</v>
      </c>
      <c r="K30" s="27"/>
      <c r="L30" s="25"/>
      <c r="M30" s="37" t="s">
        <v>48</v>
      </c>
      <c r="P30" s="23" t="s">
        <v>89</v>
      </c>
      <c r="Q30" s="23" t="s">
        <v>92</v>
      </c>
      <c r="R30" s="23"/>
      <c r="S30" s="23" t="s">
        <v>89</v>
      </c>
      <c r="T30" s="23"/>
      <c r="U30" s="23" t="s">
        <v>89</v>
      </c>
    </row>
    <row r="31" spans="1:22">
      <c r="A31" s="22">
        <v>7155587943</v>
      </c>
      <c r="B31" s="23" t="s">
        <v>31</v>
      </c>
      <c r="C31" s="23">
        <v>107</v>
      </c>
      <c r="D31" s="23">
        <v>1800</v>
      </c>
      <c r="E31" s="23"/>
      <c r="F31" s="35" t="s">
        <v>32</v>
      </c>
      <c r="G31" s="23" t="s">
        <v>49</v>
      </c>
      <c r="H31" s="25" t="s">
        <v>26</v>
      </c>
      <c r="I31" s="26"/>
      <c r="J31" s="25">
        <v>1</v>
      </c>
      <c r="K31" s="27"/>
      <c r="L31" s="25"/>
      <c r="M31" s="28"/>
      <c r="P31" s="23" t="s">
        <v>89</v>
      </c>
      <c r="Q31" s="23" t="s">
        <v>92</v>
      </c>
      <c r="R31" s="23"/>
      <c r="S31" s="23" t="s">
        <v>89</v>
      </c>
      <c r="T31" s="23"/>
      <c r="U31" s="23" t="s">
        <v>89</v>
      </c>
    </row>
    <row r="32" spans="1:22">
      <c r="A32" s="22">
        <v>7155588013</v>
      </c>
      <c r="B32" s="23" t="s">
        <v>31</v>
      </c>
      <c r="C32" s="23">
        <v>96</v>
      </c>
      <c r="D32" s="23">
        <v>1767</v>
      </c>
      <c r="E32" s="23"/>
      <c r="F32" s="35" t="s">
        <v>32</v>
      </c>
      <c r="G32" s="23" t="s">
        <v>50</v>
      </c>
      <c r="H32" s="23" t="s">
        <v>25</v>
      </c>
      <c r="I32" s="35"/>
      <c r="J32" s="23">
        <v>1</v>
      </c>
      <c r="K32" s="27"/>
      <c r="L32" s="25"/>
      <c r="M32" s="28"/>
      <c r="P32" s="23" t="s">
        <v>89</v>
      </c>
      <c r="Q32" s="23" t="s">
        <v>92</v>
      </c>
      <c r="R32" s="23"/>
      <c r="S32" s="23" t="s">
        <v>89</v>
      </c>
      <c r="T32" s="23"/>
      <c r="U32" s="23" t="s">
        <v>89</v>
      </c>
    </row>
    <row r="33" spans="1:21">
      <c r="A33" s="22">
        <v>7155588050</v>
      </c>
      <c r="B33" s="23" t="s">
        <v>31</v>
      </c>
      <c r="C33" s="23">
        <v>136</v>
      </c>
      <c r="D33" s="23">
        <v>2683</v>
      </c>
      <c r="E33" s="23"/>
      <c r="F33" s="35" t="s">
        <v>32</v>
      </c>
      <c r="G33" s="23" t="s">
        <v>51</v>
      </c>
      <c r="H33" s="23" t="s">
        <v>24</v>
      </c>
      <c r="I33" s="35"/>
      <c r="J33" s="23">
        <v>1</v>
      </c>
      <c r="K33" s="27"/>
      <c r="L33" s="25"/>
      <c r="M33" s="28"/>
      <c r="P33" s="23" t="s">
        <v>89</v>
      </c>
      <c r="Q33" s="23" t="s">
        <v>92</v>
      </c>
      <c r="R33" s="23"/>
      <c r="S33" s="23" t="s">
        <v>89</v>
      </c>
      <c r="T33" s="23"/>
      <c r="U33" s="23" t="s">
        <v>89</v>
      </c>
    </row>
    <row r="34" spans="1:21">
      <c r="A34" s="22">
        <v>7155588061</v>
      </c>
      <c r="B34" s="23" t="s">
        <v>31</v>
      </c>
      <c r="C34" s="23">
        <v>136</v>
      </c>
      <c r="D34" s="23">
        <v>2609</v>
      </c>
      <c r="E34" s="23"/>
      <c r="F34" s="35" t="s">
        <v>32</v>
      </c>
      <c r="G34" s="23" t="s">
        <v>52</v>
      </c>
      <c r="H34" s="23" t="s">
        <v>24</v>
      </c>
      <c r="I34" s="35"/>
      <c r="J34" s="23">
        <v>1</v>
      </c>
      <c r="K34" s="27"/>
      <c r="L34" s="25"/>
      <c r="M34" s="28"/>
      <c r="P34" s="23" t="s">
        <v>89</v>
      </c>
      <c r="Q34" s="23" t="s">
        <v>92</v>
      </c>
      <c r="R34" s="23"/>
      <c r="S34" s="23" t="s">
        <v>89</v>
      </c>
      <c r="T34" s="23"/>
      <c r="U34" s="23" t="s">
        <v>89</v>
      </c>
    </row>
    <row r="35" spans="1:21">
      <c r="A35" s="22">
        <v>7155588072</v>
      </c>
      <c r="B35" s="23" t="s">
        <v>31</v>
      </c>
      <c r="C35" s="23">
        <v>132</v>
      </c>
      <c r="D35" s="23">
        <v>2332</v>
      </c>
      <c r="E35" s="23"/>
      <c r="F35" s="35" t="s">
        <v>32</v>
      </c>
      <c r="G35" s="23" t="s">
        <v>53</v>
      </c>
      <c r="H35" s="23" t="s">
        <v>24</v>
      </c>
      <c r="I35" s="35"/>
      <c r="J35" s="23">
        <v>1</v>
      </c>
      <c r="K35" s="27"/>
      <c r="L35" s="25"/>
      <c r="M35" s="28"/>
      <c r="P35" s="23" t="s">
        <v>89</v>
      </c>
      <c r="Q35" s="23" t="s">
        <v>92</v>
      </c>
      <c r="R35" s="23"/>
      <c r="S35" s="23" t="s">
        <v>89</v>
      </c>
      <c r="T35" s="23"/>
      <c r="U35" s="23" t="s">
        <v>89</v>
      </c>
    </row>
    <row r="36" spans="1:21">
      <c r="A36" s="22">
        <v>7155588083</v>
      </c>
      <c r="B36" s="23" t="s">
        <v>31</v>
      </c>
      <c r="C36" s="23">
        <v>52</v>
      </c>
      <c r="D36" s="23">
        <v>973</v>
      </c>
      <c r="E36" s="23"/>
      <c r="F36" s="38" t="s">
        <v>32</v>
      </c>
      <c r="G36" s="39" t="s">
        <v>54</v>
      </c>
      <c r="H36" s="39" t="s">
        <v>27</v>
      </c>
      <c r="I36" s="35"/>
      <c r="J36" s="23">
        <v>1</v>
      </c>
      <c r="K36" s="27"/>
      <c r="L36" s="25"/>
      <c r="M36" s="40" t="s">
        <v>55</v>
      </c>
      <c r="P36" s="23" t="s">
        <v>89</v>
      </c>
      <c r="Q36" s="23" t="s">
        <v>92</v>
      </c>
      <c r="R36" s="23"/>
      <c r="S36" s="23" t="s">
        <v>89</v>
      </c>
      <c r="T36" s="23"/>
      <c r="U36" s="23" t="s">
        <v>89</v>
      </c>
    </row>
    <row r="37" spans="1:21">
      <c r="A37" s="22">
        <v>7155588094</v>
      </c>
      <c r="B37" s="23" t="s">
        <v>31</v>
      </c>
      <c r="C37" s="23">
        <v>72</v>
      </c>
      <c r="D37" s="23">
        <v>1387</v>
      </c>
      <c r="E37" s="23"/>
      <c r="F37" s="38" t="s">
        <v>32</v>
      </c>
      <c r="G37" s="39" t="s">
        <v>54</v>
      </c>
      <c r="H37" s="39" t="s">
        <v>56</v>
      </c>
      <c r="I37" s="35"/>
      <c r="J37" s="23">
        <v>1</v>
      </c>
      <c r="K37" s="27"/>
      <c r="L37" s="25"/>
      <c r="M37" s="40" t="s">
        <v>55</v>
      </c>
      <c r="P37" s="23" t="s">
        <v>89</v>
      </c>
      <c r="Q37" s="23" t="s">
        <v>92</v>
      </c>
      <c r="R37" s="23"/>
      <c r="S37" s="23" t="s">
        <v>89</v>
      </c>
      <c r="T37" s="23"/>
      <c r="U37" s="23" t="s">
        <v>89</v>
      </c>
    </row>
    <row r="38" spans="1:21">
      <c r="A38" s="22"/>
      <c r="B38" s="23"/>
      <c r="C38" s="23"/>
      <c r="D38" s="23"/>
      <c r="E38" s="23"/>
      <c r="F38" s="35"/>
      <c r="G38" s="23"/>
      <c r="H38" s="23"/>
      <c r="I38" s="35"/>
      <c r="J38" s="23"/>
      <c r="K38" s="27"/>
      <c r="L38" s="25"/>
      <c r="M38" s="28"/>
      <c r="P38" s="23"/>
      <c r="Q38" s="23"/>
      <c r="R38" s="23"/>
      <c r="S38" s="23"/>
      <c r="T38" s="23"/>
      <c r="U38" s="23"/>
    </row>
    <row r="39" spans="1:21">
      <c r="A39" s="22">
        <v>7155588164</v>
      </c>
      <c r="B39" s="23" t="s">
        <v>57</v>
      </c>
      <c r="C39" s="23">
        <v>143</v>
      </c>
      <c r="D39" s="23">
        <v>2363</v>
      </c>
      <c r="E39" s="23"/>
      <c r="F39" s="35" t="s">
        <v>32</v>
      </c>
      <c r="G39" s="23" t="s">
        <v>58</v>
      </c>
      <c r="H39" s="23" t="s">
        <v>59</v>
      </c>
      <c r="I39" s="35"/>
      <c r="J39" s="23">
        <v>1</v>
      </c>
      <c r="K39" s="27"/>
      <c r="L39" s="25"/>
      <c r="M39" s="28"/>
      <c r="P39" s="23"/>
      <c r="Q39" s="23"/>
      <c r="R39" s="23"/>
      <c r="S39" s="23"/>
      <c r="T39" s="23"/>
      <c r="U39" s="23"/>
    </row>
    <row r="40" spans="1:21">
      <c r="A40" s="22">
        <v>7155587814</v>
      </c>
      <c r="B40" s="23" t="s">
        <v>57</v>
      </c>
      <c r="C40" s="23">
        <v>143</v>
      </c>
      <c r="D40" s="23">
        <v>2773</v>
      </c>
      <c r="E40" s="23"/>
      <c r="F40" s="35" t="s">
        <v>32</v>
      </c>
      <c r="G40" s="23" t="s">
        <v>60</v>
      </c>
      <c r="H40" s="23" t="s">
        <v>59</v>
      </c>
      <c r="I40" s="35"/>
      <c r="J40" s="23">
        <v>1</v>
      </c>
      <c r="K40" s="27"/>
      <c r="L40" s="25"/>
      <c r="M40" s="28"/>
      <c r="P40" s="23"/>
      <c r="Q40" s="23"/>
      <c r="R40" s="23"/>
      <c r="S40" s="23"/>
      <c r="T40" s="23"/>
      <c r="U40" s="23"/>
    </row>
    <row r="41" spans="1:21">
      <c r="A41" s="22">
        <v>7155587803</v>
      </c>
      <c r="B41" s="23" t="s">
        <v>57</v>
      </c>
      <c r="C41" s="23">
        <v>143</v>
      </c>
      <c r="D41" s="23">
        <v>2714</v>
      </c>
      <c r="E41" s="23"/>
      <c r="F41" s="35" t="s">
        <v>32</v>
      </c>
      <c r="G41" s="23" t="s">
        <v>61</v>
      </c>
      <c r="H41" s="23" t="s">
        <v>62</v>
      </c>
      <c r="I41" s="35"/>
      <c r="J41" s="23">
        <v>1</v>
      </c>
      <c r="K41" s="27"/>
      <c r="L41" s="25"/>
      <c r="M41" s="28"/>
      <c r="P41" s="23"/>
      <c r="Q41" s="23"/>
      <c r="R41" s="23"/>
      <c r="S41" s="23"/>
      <c r="T41" s="23"/>
      <c r="U41" s="23"/>
    </row>
    <row r="42" spans="1:21">
      <c r="A42" s="22">
        <v>7155588153</v>
      </c>
      <c r="B42" s="23" t="s">
        <v>57</v>
      </c>
      <c r="C42" s="23">
        <v>143</v>
      </c>
      <c r="D42" s="23">
        <v>2744</v>
      </c>
      <c r="E42" s="23"/>
      <c r="F42" s="35" t="s">
        <v>32</v>
      </c>
      <c r="G42" s="23" t="s">
        <v>63</v>
      </c>
      <c r="H42" s="23" t="s">
        <v>59</v>
      </c>
      <c r="I42" s="35"/>
      <c r="J42" s="23">
        <v>1</v>
      </c>
      <c r="K42" s="27"/>
      <c r="L42" s="25"/>
      <c r="M42" s="28"/>
      <c r="P42" s="23"/>
      <c r="Q42" s="23"/>
      <c r="R42" s="23"/>
      <c r="S42" s="23"/>
      <c r="T42" s="23"/>
      <c r="U42" s="23"/>
    </row>
    <row r="43" spans="1:21">
      <c r="A43" s="22">
        <v>7155588186</v>
      </c>
      <c r="B43" s="23" t="s">
        <v>57</v>
      </c>
      <c r="C43" s="23">
        <v>96</v>
      </c>
      <c r="D43" s="23">
        <v>1797</v>
      </c>
      <c r="E43" s="23"/>
      <c r="F43" s="35" t="s">
        <v>32</v>
      </c>
      <c r="G43" s="23" t="s">
        <v>64</v>
      </c>
      <c r="H43" s="23" t="s">
        <v>41</v>
      </c>
      <c r="I43" s="35"/>
      <c r="J43" s="23">
        <v>1</v>
      </c>
      <c r="K43" s="27"/>
      <c r="L43" s="25"/>
      <c r="M43" s="28"/>
      <c r="P43" s="23"/>
      <c r="Q43" s="23"/>
      <c r="R43" s="23"/>
      <c r="S43" s="23"/>
      <c r="T43" s="23"/>
      <c r="U43" s="23"/>
    </row>
    <row r="44" spans="1:21">
      <c r="A44" s="22">
        <v>7155588142</v>
      </c>
      <c r="B44" s="23" t="s">
        <v>57</v>
      </c>
      <c r="C44" s="23">
        <v>143</v>
      </c>
      <c r="D44" s="23">
        <v>2722</v>
      </c>
      <c r="E44" s="23"/>
      <c r="F44" s="35" t="s">
        <v>32</v>
      </c>
      <c r="G44" s="23" t="s">
        <v>65</v>
      </c>
      <c r="H44" s="23" t="s">
        <v>59</v>
      </c>
      <c r="I44" s="35"/>
      <c r="J44" s="23">
        <v>1</v>
      </c>
      <c r="K44" s="27"/>
      <c r="L44" s="25"/>
      <c r="M44" s="28"/>
      <c r="P44" s="23"/>
      <c r="Q44" s="23"/>
      <c r="R44" s="23"/>
      <c r="S44" s="23"/>
      <c r="T44" s="23"/>
      <c r="U44" s="23"/>
    </row>
    <row r="45" spans="1:21">
      <c r="A45" s="22">
        <v>7155588175</v>
      </c>
      <c r="B45" s="23" t="s">
        <v>57</v>
      </c>
      <c r="C45" s="23">
        <v>71</v>
      </c>
      <c r="D45" s="23">
        <v>1335</v>
      </c>
      <c r="E45" s="41"/>
      <c r="F45" s="26" t="s">
        <v>32</v>
      </c>
      <c r="G45" s="30" t="s">
        <v>66</v>
      </c>
      <c r="H45" s="30" t="s">
        <v>59</v>
      </c>
      <c r="I45" s="35"/>
      <c r="J45" s="23">
        <v>1</v>
      </c>
      <c r="K45" s="27"/>
      <c r="L45" s="25"/>
      <c r="M45" s="31" t="s">
        <v>35</v>
      </c>
      <c r="P45" s="23"/>
      <c r="Q45" s="23"/>
      <c r="R45" s="23"/>
      <c r="S45" s="23"/>
      <c r="T45" s="23"/>
      <c r="U45" s="23"/>
    </row>
    <row r="46" spans="1:21">
      <c r="A46" s="22">
        <v>7155588256</v>
      </c>
      <c r="B46" s="23" t="s">
        <v>57</v>
      </c>
      <c r="C46" s="23">
        <v>72</v>
      </c>
      <c r="D46" s="23">
        <v>1309</v>
      </c>
      <c r="E46" s="41"/>
      <c r="F46" s="26" t="s">
        <v>32</v>
      </c>
      <c r="G46" s="30" t="s">
        <v>28</v>
      </c>
      <c r="H46" s="30" t="s">
        <v>59</v>
      </c>
      <c r="I46" s="35"/>
      <c r="J46" s="23">
        <v>1</v>
      </c>
      <c r="K46" s="27"/>
      <c r="L46" s="25"/>
      <c r="M46" s="31" t="s">
        <v>35</v>
      </c>
      <c r="P46" s="23"/>
      <c r="Q46" s="23"/>
      <c r="R46" s="23"/>
      <c r="S46" s="23"/>
      <c r="T46" s="23"/>
      <c r="U46" s="23"/>
    </row>
    <row r="47" spans="1:21">
      <c r="A47" s="22">
        <v>7155066524</v>
      </c>
      <c r="B47" s="23" t="s">
        <v>57</v>
      </c>
      <c r="C47" s="23">
        <v>116</v>
      </c>
      <c r="D47" s="23">
        <v>2203</v>
      </c>
      <c r="E47" s="23"/>
      <c r="F47" s="35" t="s">
        <v>32</v>
      </c>
      <c r="G47" s="23" t="s">
        <v>67</v>
      </c>
      <c r="H47" s="23" t="s">
        <v>68</v>
      </c>
      <c r="I47" s="35"/>
      <c r="J47" s="23">
        <v>1</v>
      </c>
      <c r="K47" s="27"/>
      <c r="L47" s="25"/>
      <c r="M47" s="28"/>
      <c r="P47" s="23"/>
      <c r="Q47" s="23"/>
      <c r="R47" s="23"/>
      <c r="S47" s="23"/>
      <c r="T47" s="23"/>
      <c r="U47" s="23"/>
    </row>
    <row r="48" spans="1:21">
      <c r="A48" s="22">
        <v>7155587744</v>
      </c>
      <c r="B48" s="23" t="s">
        <v>57</v>
      </c>
      <c r="C48" s="23">
        <v>116</v>
      </c>
      <c r="D48" s="23">
        <v>2246</v>
      </c>
      <c r="E48" s="23"/>
      <c r="F48" s="35" t="s">
        <v>32</v>
      </c>
      <c r="G48" s="23" t="s">
        <v>69</v>
      </c>
      <c r="H48" s="23" t="s">
        <v>68</v>
      </c>
      <c r="I48" s="35"/>
      <c r="J48" s="23">
        <v>1</v>
      </c>
      <c r="K48" s="27"/>
      <c r="L48" s="25"/>
      <c r="M48" s="28"/>
      <c r="P48" s="23"/>
      <c r="Q48" s="23"/>
      <c r="R48" s="23"/>
      <c r="S48" s="23"/>
      <c r="T48" s="23"/>
      <c r="U48" s="23"/>
    </row>
    <row r="49" spans="1:21">
      <c r="A49" s="22">
        <v>7155587766</v>
      </c>
      <c r="B49" s="23" t="s">
        <v>57</v>
      </c>
      <c r="C49" s="23">
        <v>96</v>
      </c>
      <c r="D49" s="23">
        <v>1819</v>
      </c>
      <c r="E49" s="23"/>
      <c r="F49" s="35" t="s">
        <v>32</v>
      </c>
      <c r="G49" s="23" t="s">
        <v>70</v>
      </c>
      <c r="H49" s="23" t="s">
        <v>41</v>
      </c>
      <c r="I49" s="35"/>
      <c r="J49" s="23">
        <v>1</v>
      </c>
      <c r="K49" s="27"/>
      <c r="L49" s="25"/>
      <c r="M49" s="28"/>
      <c r="P49" s="23"/>
      <c r="Q49" s="23"/>
      <c r="R49" s="23"/>
      <c r="S49" s="23"/>
      <c r="T49" s="23"/>
      <c r="U49" s="23"/>
    </row>
    <row r="50" spans="1:21">
      <c r="A50" s="22">
        <v>7155587770</v>
      </c>
      <c r="B50" s="23" t="s">
        <v>57</v>
      </c>
      <c r="C50" s="23">
        <v>143</v>
      </c>
      <c r="D50" s="23">
        <v>2776</v>
      </c>
      <c r="E50" s="23"/>
      <c r="F50" s="35" t="s">
        <v>32</v>
      </c>
      <c r="G50" s="23" t="s">
        <v>71</v>
      </c>
      <c r="H50" s="23" t="s">
        <v>59</v>
      </c>
      <c r="I50" s="35"/>
      <c r="J50" s="23">
        <v>1</v>
      </c>
      <c r="K50" s="27"/>
      <c r="L50" s="25"/>
      <c r="M50" s="28"/>
      <c r="P50" s="23"/>
      <c r="Q50" s="23"/>
      <c r="R50" s="23"/>
      <c r="S50" s="23"/>
      <c r="T50" s="23"/>
      <c r="U50" s="23"/>
    </row>
    <row r="51" spans="1:21">
      <c r="A51" s="22">
        <v>7155587781</v>
      </c>
      <c r="B51" s="23" t="s">
        <v>57</v>
      </c>
      <c r="C51" s="23">
        <v>41</v>
      </c>
      <c r="D51" s="23">
        <v>781</v>
      </c>
      <c r="E51" s="23">
        <v>5.23</v>
      </c>
      <c r="F51" s="27" t="s">
        <v>72</v>
      </c>
      <c r="G51" s="23" t="s">
        <v>29</v>
      </c>
      <c r="H51" s="23"/>
      <c r="I51" s="35"/>
      <c r="J51" s="23">
        <v>1</v>
      </c>
      <c r="K51" s="27"/>
      <c r="L51" s="25"/>
      <c r="M51" s="28"/>
      <c r="P51" s="23"/>
      <c r="Q51" s="23"/>
      <c r="R51" s="23"/>
      <c r="S51" s="23"/>
      <c r="T51" s="23"/>
      <c r="U51" s="23"/>
    </row>
    <row r="52" spans="1:21">
      <c r="P52" s="23"/>
      <c r="Q52" s="23"/>
      <c r="R52" s="23"/>
      <c r="S52" s="23"/>
      <c r="T52" s="23"/>
      <c r="U52" s="23"/>
    </row>
    <row r="53" spans="1:21">
      <c r="A53" s="21" t="s">
        <v>30</v>
      </c>
      <c r="C53" s="21">
        <v>3612</v>
      </c>
      <c r="D53" s="21">
        <v>67473</v>
      </c>
      <c r="E53" s="21">
        <v>5.23</v>
      </c>
      <c r="J53" s="21">
        <v>35</v>
      </c>
      <c r="P53" s="23"/>
      <c r="Q53" s="23"/>
      <c r="R53" s="23"/>
      <c r="S53" s="23"/>
      <c r="T53" s="23"/>
      <c r="U53" s="23"/>
    </row>
    <row r="54" spans="1:21">
      <c r="P54" s="23"/>
      <c r="Q54" s="23"/>
      <c r="R54" s="23"/>
      <c r="S54" s="23"/>
      <c r="T54" s="23"/>
      <c r="U54" s="23"/>
    </row>
  </sheetData>
  <mergeCells count="1">
    <mergeCell ref="B7:C7"/>
  </mergeCells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F17EE-B5EA-489E-9AB9-1BB2D9C2398A}">
  <sheetPr codeName="shSHP"/>
  <dimension ref="A1:B2"/>
  <sheetViews>
    <sheetView workbookViewId="0">
      <selection activeCell="B2" sqref="B2"/>
    </sheetView>
  </sheetViews>
  <sheetFormatPr defaultColWidth="9" defaultRowHeight="12.75"/>
  <cols>
    <col min="1" max="1" width="9" style="64"/>
    <col min="2" max="2" width="52" style="64" customWidth="1"/>
    <col min="3" max="16384" width="9" style="64"/>
  </cols>
  <sheetData>
    <row r="1" spans="1:2" ht="51">
      <c r="A1" s="62" t="s">
        <v>89</v>
      </c>
      <c r="B1" s="63" t="s">
        <v>121</v>
      </c>
    </row>
    <row r="2" spans="1:2">
      <c r="A2" s="64" t="s">
        <v>109</v>
      </c>
      <c r="B2" s="64" t="s">
        <v>147</v>
      </c>
    </row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BA5C1-BFD6-4389-9549-69D3817F1538}">
  <sheetPr codeName="shNTY"/>
  <dimension ref="A1:B9"/>
  <sheetViews>
    <sheetView workbookViewId="0">
      <selection activeCell="B9" sqref="B9"/>
    </sheetView>
  </sheetViews>
  <sheetFormatPr defaultColWidth="9" defaultRowHeight="12.75"/>
  <cols>
    <col min="1" max="1" width="9" style="64"/>
    <col min="2" max="2" width="45.125" style="64" customWidth="1"/>
    <col min="3" max="16384" width="9" style="64"/>
  </cols>
  <sheetData>
    <row r="1" spans="1:2">
      <c r="A1" s="62"/>
      <c r="B1" s="63"/>
    </row>
    <row r="3" spans="1:2">
      <c r="A3" s="64" t="s">
        <v>124</v>
      </c>
      <c r="B3" s="64" t="s">
        <v>124</v>
      </c>
    </row>
    <row r="5" spans="1:2">
      <c r="A5" s="64" t="s">
        <v>125</v>
      </c>
      <c r="B5" s="64" t="s">
        <v>125</v>
      </c>
    </row>
    <row r="7" spans="1:2">
      <c r="A7" s="64">
        <v>1</v>
      </c>
      <c r="B7" s="64">
        <v>1</v>
      </c>
    </row>
    <row r="9" spans="1:2" ht="25.5">
      <c r="A9" s="64" t="s">
        <v>89</v>
      </c>
      <c r="B9" s="63" t="s">
        <v>128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077-D3B6-4397-B7AC-BDC45BB005D7}">
  <sheetPr codeName="shCNE"/>
  <dimension ref="A9:B12"/>
  <sheetViews>
    <sheetView workbookViewId="0">
      <selection activeCell="B18" sqref="B18"/>
    </sheetView>
  </sheetViews>
  <sheetFormatPr defaultColWidth="9" defaultRowHeight="12.75"/>
  <cols>
    <col min="1" max="1" width="9" style="64"/>
    <col min="2" max="2" width="45.125" style="64" customWidth="1"/>
    <col min="3" max="16384" width="9" style="64"/>
  </cols>
  <sheetData>
    <row r="9" spans="1:2" ht="51">
      <c r="A9" s="73" t="s">
        <v>92</v>
      </c>
      <c r="B9" s="63" t="s">
        <v>90</v>
      </c>
    </row>
    <row r="10" spans="1:2">
      <c r="A10" s="74">
        <v>111</v>
      </c>
      <c r="B10" s="64" t="s">
        <v>115</v>
      </c>
    </row>
    <row r="11" spans="1:2">
      <c r="A11" s="74">
        <v>222</v>
      </c>
      <c r="B11" s="64" t="s">
        <v>116</v>
      </c>
    </row>
    <row r="12" spans="1:2" ht="38.25">
      <c r="A12" s="74" t="s">
        <v>117</v>
      </c>
      <c r="B12" s="63" t="s">
        <v>118</v>
      </c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0A69C-C14E-4B74-9BD2-CA77D7D441A9}">
  <sheetPr codeName="ACC"/>
  <dimension ref="A1:B1"/>
  <sheetViews>
    <sheetView workbookViewId="0"/>
  </sheetViews>
  <sheetFormatPr defaultColWidth="9" defaultRowHeight="12.75"/>
  <cols>
    <col min="1" max="1" width="9" style="64"/>
    <col min="2" max="2" width="45.125" style="64" customWidth="1"/>
    <col min="3" max="16384" width="9" style="64"/>
  </cols>
  <sheetData>
    <row r="1" spans="1:2" ht="51">
      <c r="A1" s="62" t="s">
        <v>89</v>
      </c>
      <c r="B1" s="63" t="s">
        <v>91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7F979-7897-40D5-B548-6F54AA12BE51}">
  <sheetPr codeName="Commodity"/>
  <dimension ref="A1:B1"/>
  <sheetViews>
    <sheetView workbookViewId="0">
      <selection activeCell="B1" sqref="B1"/>
    </sheetView>
  </sheetViews>
  <sheetFormatPr defaultColWidth="9" defaultRowHeight="12.75"/>
  <cols>
    <col min="1" max="1" width="9" style="64"/>
    <col min="2" max="2" width="35.625" style="64" customWidth="1"/>
    <col min="3" max="16384" width="9" style="64"/>
  </cols>
  <sheetData>
    <row r="1" spans="1:2" ht="63.75">
      <c r="A1" s="62" t="s">
        <v>89</v>
      </c>
      <c r="B1" s="63" t="s">
        <v>104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3755-40B7-43DA-9CFB-0E05B9ABA156}">
  <sheetPr codeName="HCC"/>
  <dimension ref="A1"/>
  <sheetViews>
    <sheetView workbookViewId="0">
      <selection activeCell="F13" sqref="F13"/>
    </sheetView>
  </sheetViews>
  <sheetFormatPr defaultColWidth="9" defaultRowHeight="12.75"/>
  <cols>
    <col min="1" max="16384" width="9" style="64"/>
  </cols>
  <sheetData/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A6E35-9BAF-40E3-A2D9-379390B97081}">
  <sheetPr codeName="DEST_IATA"/>
  <dimension ref="A1:H18"/>
  <sheetViews>
    <sheetView workbookViewId="0">
      <selection activeCell="B6" sqref="B6"/>
    </sheetView>
  </sheetViews>
  <sheetFormatPr defaultColWidth="9" defaultRowHeight="15.75"/>
  <cols>
    <col min="1" max="1" width="9" style="54"/>
    <col min="2" max="2" width="27.125" style="54" customWidth="1"/>
    <col min="3" max="16384" width="9" style="54"/>
  </cols>
  <sheetData>
    <row r="1" spans="1:8" s="55" customFormat="1">
      <c r="A1" s="55" t="s">
        <v>95</v>
      </c>
      <c r="B1" s="55" t="s">
        <v>106</v>
      </c>
      <c r="C1" s="65" t="s">
        <v>96</v>
      </c>
      <c r="D1" s="65" t="s">
        <v>97</v>
      </c>
      <c r="E1" s="55">
        <v>45</v>
      </c>
      <c r="F1" s="55">
        <v>100</v>
      </c>
      <c r="G1" s="55">
        <v>300</v>
      </c>
      <c r="H1" s="55">
        <v>500</v>
      </c>
    </row>
    <row r="2" spans="1:8">
      <c r="C2" s="56"/>
      <c r="D2" s="56"/>
      <c r="E2" s="56"/>
      <c r="F2" s="56"/>
      <c r="G2" s="56"/>
      <c r="H2" s="56"/>
    </row>
    <row r="3" spans="1:8">
      <c r="C3" s="56"/>
      <c r="D3" s="56"/>
      <c r="E3" s="56"/>
      <c r="F3" s="56"/>
      <c r="G3" s="56"/>
      <c r="H3" s="56"/>
    </row>
    <row r="4" spans="1:8">
      <c r="A4" s="57" t="s">
        <v>93</v>
      </c>
      <c r="B4" s="57" t="s">
        <v>94</v>
      </c>
      <c r="C4" s="58"/>
      <c r="D4" s="59"/>
      <c r="E4" s="59"/>
      <c r="F4" s="59">
        <v>44</v>
      </c>
      <c r="G4" s="59">
        <v>39</v>
      </c>
      <c r="H4" s="59">
        <v>36</v>
      </c>
    </row>
    <row r="5" spans="1:8">
      <c r="A5" s="57"/>
      <c r="B5" s="57"/>
      <c r="C5" s="58"/>
      <c r="D5" s="59"/>
      <c r="E5" s="59"/>
      <c r="F5" s="59"/>
      <c r="G5" s="59"/>
      <c r="H5" s="59"/>
    </row>
    <row r="6" spans="1:8">
      <c r="A6" s="57" t="s">
        <v>135</v>
      </c>
      <c r="B6" s="57" t="s">
        <v>136</v>
      </c>
      <c r="C6" s="58"/>
      <c r="D6" s="59"/>
      <c r="E6" s="59"/>
      <c r="F6" s="59"/>
      <c r="G6" s="59"/>
      <c r="H6" s="59"/>
    </row>
    <row r="7" spans="1:8">
      <c r="A7" s="57"/>
      <c r="B7" s="57"/>
      <c r="C7" s="58"/>
      <c r="D7" s="59"/>
      <c r="E7" s="59"/>
      <c r="F7" s="59"/>
      <c r="G7" s="59"/>
      <c r="H7" s="59"/>
    </row>
    <row r="8" spans="1:8">
      <c r="A8" s="57"/>
      <c r="B8" s="57"/>
      <c r="C8" s="58"/>
      <c r="D8" s="59"/>
      <c r="E8" s="59"/>
      <c r="F8" s="59"/>
      <c r="G8" s="59"/>
      <c r="H8" s="59"/>
    </row>
    <row r="9" spans="1:8">
      <c r="A9" s="57"/>
      <c r="B9" s="57"/>
      <c r="C9" s="58"/>
      <c r="D9" s="59"/>
      <c r="E9" s="59"/>
      <c r="F9" s="59"/>
      <c r="G9" s="59"/>
      <c r="H9" s="59"/>
    </row>
    <row r="10" spans="1:8">
      <c r="A10" s="57"/>
      <c r="B10" s="57"/>
      <c r="C10" s="58"/>
      <c r="D10" s="59"/>
      <c r="E10" s="59"/>
      <c r="F10" s="59"/>
      <c r="G10" s="59"/>
      <c r="H10" s="59"/>
    </row>
    <row r="11" spans="1:8">
      <c r="A11" s="57"/>
      <c r="B11" s="57"/>
      <c r="C11" s="58"/>
      <c r="D11" s="59"/>
      <c r="E11" s="59"/>
      <c r="F11" s="59"/>
      <c r="G11" s="59"/>
      <c r="H11" s="59"/>
    </row>
    <row r="12" spans="1:8">
      <c r="A12" s="57"/>
      <c r="B12" s="57"/>
      <c r="C12" s="58"/>
      <c r="D12" s="59"/>
      <c r="E12" s="59"/>
      <c r="F12" s="59"/>
      <c r="G12" s="59"/>
      <c r="H12" s="59"/>
    </row>
    <row r="13" spans="1:8">
      <c r="A13" s="57"/>
      <c r="B13" s="57"/>
      <c r="C13" s="58"/>
      <c r="D13" s="59"/>
      <c r="E13" s="59"/>
      <c r="F13" s="59"/>
      <c r="G13" s="59"/>
      <c r="H13" s="59"/>
    </row>
    <row r="14" spans="1:8">
      <c r="A14" s="57"/>
      <c r="B14" s="57"/>
      <c r="C14" s="58"/>
      <c r="D14" s="59"/>
      <c r="E14" s="59"/>
      <c r="F14" s="59"/>
      <c r="G14" s="59"/>
      <c r="H14" s="59"/>
    </row>
    <row r="15" spans="1:8">
      <c r="A15" s="57"/>
      <c r="B15" s="57"/>
      <c r="C15" s="58"/>
      <c r="D15" s="59"/>
      <c r="E15" s="59"/>
      <c r="F15" s="59"/>
      <c r="G15" s="59"/>
      <c r="H15" s="59"/>
    </row>
    <row r="16" spans="1:8">
      <c r="A16" s="57"/>
      <c r="B16" s="57"/>
      <c r="C16" s="58"/>
      <c r="D16" s="59"/>
      <c r="E16" s="59"/>
      <c r="F16" s="59"/>
      <c r="G16" s="59"/>
      <c r="H16" s="59"/>
    </row>
    <row r="17" spans="1:8">
      <c r="A17" s="57"/>
      <c r="B17" s="57"/>
      <c r="C17" s="58"/>
      <c r="D17" s="59"/>
      <c r="E17" s="59"/>
      <c r="F17" s="59"/>
      <c r="G17" s="59"/>
      <c r="H17" s="59"/>
    </row>
    <row r="18" spans="1:8">
      <c r="C18" s="56"/>
      <c r="D18" s="56"/>
      <c r="E18" s="56"/>
      <c r="F18" s="56"/>
      <c r="G18" s="56"/>
      <c r="H18" s="56"/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013FE-B370-4922-B4B0-425254F17635}">
  <sheetPr codeName="Airline"/>
  <dimension ref="A3:C4"/>
  <sheetViews>
    <sheetView workbookViewId="0">
      <selection activeCell="C11" sqref="C11"/>
    </sheetView>
  </sheetViews>
  <sheetFormatPr defaultColWidth="9" defaultRowHeight="15.75"/>
  <cols>
    <col min="1" max="1" width="9" style="75"/>
    <col min="2" max="2" width="40.125" style="54" customWidth="1"/>
    <col min="3" max="3" width="37.5" style="54" customWidth="1"/>
    <col min="4" max="16384" width="9" style="54"/>
  </cols>
  <sheetData>
    <row r="3" spans="1:3" ht="31.5">
      <c r="A3" s="75" t="s">
        <v>108</v>
      </c>
      <c r="B3" s="76" t="s">
        <v>83</v>
      </c>
      <c r="C3" s="54" t="s">
        <v>120</v>
      </c>
    </row>
    <row r="4" spans="1:3" ht="47.25">
      <c r="A4" s="75" t="s">
        <v>122</v>
      </c>
      <c r="B4" s="76" t="s">
        <v>123</v>
      </c>
      <c r="C4" s="76" t="s">
        <v>133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97B6C3DC6899B343862885D3CC0D92AE" ma:contentTypeVersion="15" ma:contentTypeDescription="新建文档。" ma:contentTypeScope="" ma:versionID="ab1652d516d56720bb0f74bcd10a42a1">
  <xsd:schema xmlns:xsd="http://www.w3.org/2001/XMLSchema" xmlns:xs="http://www.w3.org/2001/XMLSchema" xmlns:p="http://schemas.microsoft.com/office/2006/metadata/properties" xmlns:ns2="2562f050-0000-4243-ae58-46c7f7525ef3" xmlns:ns3="9dec4c0e-e8c5-4a18-bfe8-7af6dfcbf070" targetNamespace="http://schemas.microsoft.com/office/2006/metadata/properties" ma:root="true" ma:fieldsID="3ef1607876c580eb0d810e3398e70913" ns2:_="" ns3:_="">
    <xsd:import namespace="2562f050-0000-4243-ae58-46c7f7525ef3"/>
    <xsd:import namespace="9dec4c0e-e8c5-4a18-bfe8-7af6dfcbf0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Remar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2f050-0000-4243-ae58-46c7f7525e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图像标记" ma:readOnly="false" ma:fieldId="{5cf76f15-5ced-4ddc-b409-7134ff3c332f}" ma:taxonomyMulti="true" ma:sspId="617b10d5-6169-476f-843f-c383021f752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Remark" ma:index="22" nillable="true" ma:displayName="Remark" ma:format="Dropdown" ma:internalName="Remark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c4c0e-e8c5-4a18-bfe8-7af6dfcbf07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15bddc2c-47e2-4f64-81d2-9dbfe1c7fbad}" ma:internalName="TaxCatchAll" ma:showField="CatchAllData" ma:web="9dec4c0e-e8c5-4a18-bfe8-7af6dfcbf0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562f050-0000-4243-ae58-46c7f7525ef3">
      <Terms xmlns="http://schemas.microsoft.com/office/infopath/2007/PartnerControls"/>
    </lcf76f155ced4ddcb4097134ff3c332f>
    <TaxCatchAll xmlns="9dec4c0e-e8c5-4a18-bfe8-7af6dfcbf070" xsi:nil="true"/>
    <Remark xmlns="2562f050-0000-4243-ae58-46c7f7525ef3" xsi:nil="true"/>
  </documentManagement>
</p:properties>
</file>

<file path=customXml/itemProps1.xml><?xml version="1.0" encoding="utf-8"?>
<ds:datastoreItem xmlns:ds="http://schemas.openxmlformats.org/officeDocument/2006/customXml" ds:itemID="{88EDCF1E-65FF-491D-96FC-5FDDCCA798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62f050-0000-4243-ae58-46c7f7525ef3"/>
    <ds:schemaRef ds:uri="9dec4c0e-e8c5-4a18-bfe8-7af6dfcbf0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AA9B83-0F1F-4C70-810C-8AD1A30CC5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BACCFA-632D-4D20-B74D-FD8C059C009B}">
  <ds:schemaRefs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ec4c0e-e8c5-4a18-bfe8-7af6dfcbf070"/>
    <ds:schemaRef ds:uri="2562f050-0000-4243-ae58-46c7f7525ef3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1</vt:i4>
      </vt:variant>
    </vt:vector>
  </HeadingPairs>
  <TitlesOfParts>
    <vt:vector size="11" baseType="lpstr">
      <vt:lpstr>MAWB</vt:lpstr>
      <vt:lpstr>MAWB Config</vt:lpstr>
      <vt:lpstr>SHP</vt:lpstr>
      <vt:lpstr>NTY</vt:lpstr>
      <vt:lpstr>CNE</vt:lpstr>
      <vt:lpstr>ACC</vt:lpstr>
      <vt:lpstr>Commodity</vt:lpstr>
      <vt:lpstr>HCC</vt:lpstr>
      <vt:lpstr>DEST-IATA rate</vt:lpstr>
      <vt:lpstr>Airline Info and Remark</vt:lpstr>
      <vt:lpstr>MAWB!Print_Area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Beta LAU</dc:creator>
  <cp:keywords/>
  <dc:description/>
  <cp:lastModifiedBy>Beta LAU</cp:lastModifiedBy>
  <cp:revision/>
  <cp:lastPrinted>2025-03-06T10:37:53Z</cp:lastPrinted>
  <dcterms:created xsi:type="dcterms:W3CDTF">2017-12-29T02:49:00Z</dcterms:created>
  <dcterms:modified xsi:type="dcterms:W3CDTF">2025-03-09T16:08:22Z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0x0101000C0EDE2C3F0A1A49B446286DE286ABD6</vt:lpwstr>
  </property>
  <property fmtid="{D5CDD505-2E9C-101B-9397-08002B2CF9AE}" pid="3" name="MediaServiceImageTags">
    <vt:lpwstr/>
  </property>
</Properties>
</file>